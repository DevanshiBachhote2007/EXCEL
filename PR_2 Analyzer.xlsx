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a4ce7d2feaf9b2/Desktop/Excel_DA_DS/"/>
    </mc:Choice>
  </mc:AlternateContent>
  <xr:revisionPtr revIDLastSave="551" documentId="8_{F1C59F48-8BFD-4F3B-B3D1-5C9FFF0E1B2A}" xr6:coauthVersionLast="47" xr6:coauthVersionMax="47" xr10:uidLastSave="{C775EBD1-4112-4FD0-AD6C-B62730DA59AC}"/>
  <bookViews>
    <workbookView xWindow="-108" yWindow="-108" windowWidth="23256" windowHeight="12456" activeTab="3" xr2:uid="{606D0807-4267-446F-8C04-DA543696340B}"/>
  </bookViews>
  <sheets>
    <sheet name="Sales Data" sheetId="1" r:id="rId1"/>
    <sheet name="Summary data" sheetId="2" r:id="rId2"/>
    <sheet name="Pivot tables" sheetId="3" r:id="rId3"/>
    <sheet name="Dash Board" sheetId="6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0" i="1"/>
  <c r="N14" i="1"/>
  <c r="P14" i="1" s="1"/>
  <c r="N13" i="1"/>
  <c r="P13" i="1" s="1"/>
  <c r="N12" i="1"/>
  <c r="P12" i="1" s="1"/>
  <c r="N11" i="1"/>
  <c r="L2" i="1"/>
  <c r="L3" i="1"/>
  <c r="L4" i="1"/>
  <c r="L5" i="1"/>
  <c r="L6" i="1"/>
  <c r="L7" i="1"/>
  <c r="L8" i="1"/>
  <c r="L9" i="1"/>
  <c r="L18" i="1"/>
  <c r="L19" i="1"/>
  <c r="L20" i="1"/>
  <c r="L21" i="1"/>
  <c r="L22" i="1"/>
  <c r="L23" i="1"/>
  <c r="L24" i="1"/>
  <c r="L25" i="1"/>
  <c r="L34" i="1"/>
  <c r="L35" i="1"/>
  <c r="L36" i="1"/>
  <c r="L37" i="1"/>
  <c r="L38" i="1"/>
  <c r="L39" i="1"/>
  <c r="L40" i="1"/>
  <c r="L41" i="1"/>
  <c r="L50" i="1"/>
  <c r="L51" i="1"/>
  <c r="L52" i="1"/>
  <c r="L53" i="1"/>
  <c r="L54" i="1"/>
  <c r="L55" i="1"/>
  <c r="L56" i="1"/>
  <c r="L57" i="1"/>
  <c r="L66" i="1"/>
  <c r="L67" i="1"/>
  <c r="L68" i="1"/>
  <c r="L69" i="1"/>
  <c r="L70" i="1"/>
  <c r="L71" i="1"/>
  <c r="L72" i="1"/>
  <c r="L73" i="1"/>
  <c r="L82" i="1"/>
  <c r="L83" i="1"/>
  <c r="L84" i="1"/>
  <c r="L85" i="1"/>
  <c r="L86" i="1"/>
  <c r="L87" i="1"/>
  <c r="L88" i="1"/>
  <c r="L89" i="1"/>
  <c r="L98" i="1"/>
  <c r="L99" i="1"/>
  <c r="L100" i="1"/>
  <c r="L101" i="1"/>
  <c r="L102" i="1"/>
  <c r="L103" i="1"/>
  <c r="L104" i="1"/>
  <c r="L105" i="1"/>
  <c r="L114" i="1"/>
  <c r="L115" i="1"/>
  <c r="L116" i="1"/>
  <c r="L117" i="1"/>
  <c r="L118" i="1"/>
  <c r="L119" i="1"/>
  <c r="L120" i="1"/>
  <c r="L121" i="1"/>
  <c r="L130" i="1"/>
  <c r="L131" i="1"/>
  <c r="L132" i="1"/>
  <c r="L133" i="1"/>
  <c r="L134" i="1"/>
  <c r="L135" i="1"/>
  <c r="L136" i="1"/>
  <c r="L137" i="1"/>
  <c r="L146" i="1"/>
  <c r="L147" i="1"/>
  <c r="L148" i="1"/>
  <c r="L149" i="1"/>
  <c r="L150" i="1"/>
  <c r="L151" i="1"/>
  <c r="L152" i="1"/>
  <c r="L153" i="1"/>
  <c r="L162" i="1"/>
  <c r="L163" i="1"/>
  <c r="L164" i="1"/>
  <c r="L165" i="1"/>
  <c r="L166" i="1"/>
  <c r="L167" i="1"/>
  <c r="L168" i="1"/>
  <c r="L169" i="1"/>
  <c r="L178" i="1"/>
  <c r="L179" i="1"/>
  <c r="L180" i="1"/>
  <c r="L181" i="1"/>
  <c r="L182" i="1"/>
  <c r="L183" i="1"/>
  <c r="L184" i="1"/>
  <c r="L185" i="1"/>
  <c r="L194" i="1"/>
  <c r="L195" i="1"/>
  <c r="L196" i="1"/>
  <c r="L197" i="1"/>
  <c r="L198" i="1"/>
  <c r="L199" i="1"/>
  <c r="L200" i="1"/>
  <c r="L201" i="1"/>
  <c r="K2" i="1"/>
  <c r="K3" i="1"/>
  <c r="K4" i="1"/>
  <c r="K5" i="1"/>
  <c r="K6" i="1"/>
  <c r="K7" i="1"/>
  <c r="K8" i="1"/>
  <c r="K9" i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K19" i="1"/>
  <c r="K20" i="1"/>
  <c r="K21" i="1"/>
  <c r="K22" i="1"/>
  <c r="K23" i="1"/>
  <c r="K24" i="1"/>
  <c r="K25" i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K35" i="1"/>
  <c r="K36" i="1"/>
  <c r="K37" i="1"/>
  <c r="K38" i="1"/>
  <c r="K39" i="1"/>
  <c r="K40" i="1"/>
  <c r="K41" i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K51" i="1"/>
  <c r="K52" i="1"/>
  <c r="K53" i="1"/>
  <c r="K54" i="1"/>
  <c r="K55" i="1"/>
  <c r="K56" i="1"/>
  <c r="K57" i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K67" i="1"/>
  <c r="K68" i="1"/>
  <c r="K69" i="1"/>
  <c r="K70" i="1"/>
  <c r="K71" i="1"/>
  <c r="K72" i="1"/>
  <c r="K73" i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K83" i="1"/>
  <c r="K84" i="1"/>
  <c r="K85" i="1"/>
  <c r="K86" i="1"/>
  <c r="K87" i="1"/>
  <c r="K88" i="1"/>
  <c r="K89" i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K99" i="1"/>
  <c r="K100" i="1"/>
  <c r="K101" i="1"/>
  <c r="K102" i="1"/>
  <c r="K103" i="1"/>
  <c r="K104" i="1"/>
  <c r="K105" i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K115" i="1"/>
  <c r="K116" i="1"/>
  <c r="K117" i="1"/>
  <c r="K118" i="1"/>
  <c r="K119" i="1"/>
  <c r="K120" i="1"/>
  <c r="K121" i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K131" i="1"/>
  <c r="K132" i="1"/>
  <c r="K133" i="1"/>
  <c r="K134" i="1"/>
  <c r="K135" i="1"/>
  <c r="K136" i="1"/>
  <c r="K137" i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K147" i="1"/>
  <c r="K148" i="1"/>
  <c r="K149" i="1"/>
  <c r="K150" i="1"/>
  <c r="K151" i="1"/>
  <c r="K152" i="1"/>
  <c r="K153" i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K163" i="1"/>
  <c r="K164" i="1"/>
  <c r="K165" i="1"/>
  <c r="K166" i="1"/>
  <c r="K167" i="1"/>
  <c r="K168" i="1"/>
  <c r="K169" i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K179" i="1"/>
  <c r="K180" i="1"/>
  <c r="K181" i="1"/>
  <c r="K182" i="1"/>
  <c r="K183" i="1"/>
  <c r="K184" i="1"/>
  <c r="K185" i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K195" i="1"/>
  <c r="K196" i="1"/>
  <c r="K197" i="1"/>
  <c r="K198" i="1"/>
  <c r="K199" i="1"/>
  <c r="K200" i="1"/>
  <c r="K201" i="1"/>
  <c r="O6" i="1" a="1"/>
  <c r="O6" i="1" s="1"/>
  <c r="O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<sst xmlns="http://schemas.openxmlformats.org/spreadsheetml/2006/main" count="920" uniqueCount="140">
  <si>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</si>
  <si>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</si>
  <si>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</si>
  <si>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</si>
  <si>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</si>
  <si>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</si>
  <si>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</si>
  <si>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</si>
  <si>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</si>
  <si>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</si>
  <si>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</si>
  <si>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</si>
  <si>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</si>
  <si>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</si>
  <si>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</si>
  <si>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</si>
  <si>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</si>
  <si>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</si>
  <si>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</si>
  <si>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</si>
  <si>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</si>
  <si>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</si>
  <si>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</si>
  <si>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</si>
  <si>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</si>
  <si>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</si>
  <si>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</si>
  <si>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</si>
  <si>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</si>
  <si>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</si>
  <si>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</si>
  <si>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</si>
  <si>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</si>
  <si>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</si>
  <si>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</si>
  <si>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</si>
  <si>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</si>
  <si>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</si>
  <si>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</si>
  <si>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</si>
  <si>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</si>
  <si>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</si>
  <si>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</si>
  <si>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</si>
  <si>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</si>
  <si>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</si>
  <si>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</si>
  <si>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</si>
  <si>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</si>
  <si>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</si>
  <si>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</si>
  <si>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</si>
  <si>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</si>
  <si>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</si>
  <si>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</si>
  <si>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</si>
  <si>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</si>
  <si>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</si>
  <si>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</si>
  <si>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</si>
  <si>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</si>
  <si>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</si>
  <si>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</si>
  <si>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</si>
  <si>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</si>
  <si>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</si>
  <si>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</si>
  <si>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</si>
  <si>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</si>
  <si>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</si>
  <si>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</si>
  <si>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</si>
  <si>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</si>
  <si>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</si>
  <si>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</si>
  <si>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</si>
  <si>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</si>
  <si>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</si>
  <si>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</si>
  <si>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</si>
  <si>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</si>
  <si>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</si>
  <si>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</si>
  <si>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</si>
  <si>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</si>
  <si>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</si>
  <si>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</si>
  <si>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</si>
  <si>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</si>
  <si>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</si>
  <si>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</si>
  <si>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</si>
  <si>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</si>
  <si>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</si>
  <si>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</si>
  <si>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</si>
  <si>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</si>
  <si>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</si>
  <si>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</si>
  <si>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</si>
  <si>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</si>
  <si>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</si>
  <si>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</si>
  <si>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</si>
  <si>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</si>
  <si>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</si>
  <si>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</si>
  <si>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</si>
  <si>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</si>
  <si>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</si>
  <si>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</si>
  <si>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</si>
  <si>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</si>
  <si>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TimeStamp</t>
  </si>
  <si>
    <t>TOP CUSTOMER</t>
  </si>
  <si>
    <t>INDEX &amp; MATCH</t>
  </si>
  <si>
    <t>FILTER</t>
  </si>
  <si>
    <t>Column Labels</t>
  </si>
  <si>
    <t>Grand Total</t>
  </si>
  <si>
    <t>Row Labels</t>
  </si>
  <si>
    <t>Sum of Sales</t>
  </si>
  <si>
    <t>Cost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</si>
  <si>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</si>
  <si>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</si>
  <si>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</si>
  <si>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</si>
  <si>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</si>
  <si>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</si>
  <si>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</si>
  <si>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</si>
  <si>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</si>
  <si>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</si>
  <si>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</si>
  <si>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</si>
  <si>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</si>
  <si>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</si>
  <si>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 xml:space="preserve">Months </t>
  </si>
  <si>
    <t>Products</t>
  </si>
  <si>
    <t>Change in profit</t>
  </si>
  <si>
    <t>Scenario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</si>
</sst>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Continuous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22" fontId="2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tables!region wise sales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tables'!$B$14:$B$19</c:f>
              <c:numCache>
                <c:formatCode>General</c:formatCode>
                <c:ptCount val="5"/>
                <c:pt idx="0">
                  <c:v>43468.329999999987</c:v>
                </c:pt>
                <c:pt idx="1">
                  <c:v>32441.64</c:v>
                </c:pt>
                <c:pt idx="2">
                  <c:v>34975.42</c:v>
                </c:pt>
                <c:pt idx="3">
                  <c:v>40248.790000000008</c:v>
                </c:pt>
                <c:pt idx="4">
                  <c:v>44083.580000000016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E-46C1-91E4-97435B31E6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9636976"/>
        <c:axId val="409639376"/>
      </c:barChart>
      <c:catAx>
        <c:axId val="40963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39376"/>
        <c:crosses val="autoZero"/>
        <c:auto val="1"/>
        <c:lblAlgn val="ctr"/>
        <c:lblOffset val="100"/>
        <c:noMultiLvlLbl val="0"/>
      </c:catAx>
      <c:valAx>
        <c:axId val="40963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3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tables!Monthly sales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tables'!$D$14:$D$26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tables'!$E$14:$E$26</c:f>
              <c:numCache>
                <c:formatCode>General</c:formatCode>
                <c:ptCount val="12"/>
                <c:pt idx="0">
                  <c:v>14914.649999999998</c:v>
                </c:pt>
                <c:pt idx="1">
                  <c:v>14006.359999999999</c:v>
                </c:pt>
                <c:pt idx="2">
                  <c:v>17655.22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10091.700000000001</c:v>
                </c:pt>
                <c:pt idx="8">
                  <c:v>20533.5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F-4139-B37C-88DB37636D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0422320"/>
        <c:axId val="790424720"/>
      </c:lineChart>
      <c:catAx>
        <c:axId val="7904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4720"/>
        <c:crosses val="autoZero"/>
        <c:auto val="1"/>
        <c:lblAlgn val="ctr"/>
        <c:lblOffset val="100"/>
        <c:noMultiLvlLbl val="0"/>
      </c:catAx>
      <c:valAx>
        <c:axId val="7904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tables!Product wise Profit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E-46D8-BB48-F6A0A4BFF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E-46D8-BB48-F6A0A4BFF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E-46D8-BB48-F6A0A4BFF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E-46D8-BB48-F6A0A4BFF9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4E-46D8-BB48-F6A0A4BFF9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tables'!$G$14:$G$19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tables'!$H$14:$H$19</c:f>
              <c:numCache>
                <c:formatCode>General</c:formatCode>
                <c:ptCount val="5"/>
                <c:pt idx="0">
                  <c:v>16901.63</c:v>
                </c:pt>
                <c:pt idx="1">
                  <c:v>18784.489999999998</c:v>
                </c:pt>
                <c:pt idx="2">
                  <c:v>9182.1500000000015</c:v>
                </c:pt>
                <c:pt idx="3">
                  <c:v>11579.139999999998</c:v>
                </c:pt>
                <c:pt idx="4">
                  <c:v>11839.599999999999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4E-46D8-BB48-F6A0A4BFF9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54431</xdr:rowOff>
    </xdr:from>
    <xdr:to>
      <xdr:col>25</xdr:col>
      <xdr:colOff>81643</xdr:colOff>
      <xdr:row>27</xdr:row>
      <xdr:rowOff>24319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EBAA425-EBE2-7A96-46CD-653F2DD75BB1}"/>
            </a:ext>
          </a:extLst>
        </xdr:cNvPr>
        <xdr:cNvSpPr/>
      </xdr:nvSpPr>
      <xdr:spPr>
        <a:xfrm>
          <a:off x="68036" y="54431"/>
          <a:ext cx="15213075" cy="5003952"/>
        </a:xfrm>
        <a:prstGeom prst="roundRect">
          <a:avLst>
            <a:gd name="adj" fmla="val 3252"/>
          </a:avLst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 u="sng">
              <a:latin typeface="Arial Rounded MT Bold" panose="020F0704030504030204" pitchFamily="34" charset="0"/>
            </a:rPr>
            <a:t>Sales Data Dashboard</a:t>
          </a:r>
        </a:p>
      </xdr:txBody>
    </xdr:sp>
    <xdr:clientData/>
  </xdr:twoCellAnchor>
  <xdr:twoCellAnchor>
    <xdr:from>
      <xdr:col>0</xdr:col>
      <xdr:colOff>372893</xdr:colOff>
      <xdr:row>4</xdr:row>
      <xdr:rowOff>162418</xdr:rowOff>
    </xdr:from>
    <xdr:to>
      <xdr:col>24</xdr:col>
      <xdr:colOff>372893</xdr:colOff>
      <xdr:row>25</xdr:row>
      <xdr:rowOff>71507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6DFCE5-718F-0A80-5E57-F9720441D72C}"/>
            </a:ext>
          </a:extLst>
        </xdr:cNvPr>
        <xdr:cNvSpPr/>
      </xdr:nvSpPr>
      <xdr:spPr>
        <a:xfrm>
          <a:off x="372893" y="908205"/>
          <a:ext cx="14591489" cy="3824472"/>
        </a:xfrm>
        <a:prstGeom prst="roundRect">
          <a:avLst>
            <a:gd name="adj" fmla="val 257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141571</xdr:colOff>
      <xdr:row>6</xdr:row>
      <xdr:rowOff>98433</xdr:rowOff>
    </xdr:from>
    <xdr:to>
      <xdr:col>8</xdr:col>
      <xdr:colOff>87144</xdr:colOff>
      <xdr:row>23</xdr:row>
      <xdr:rowOff>57612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46DEB-D52F-4169-88EE-065575A45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372893</xdr:colOff>
      <xdr:row>6</xdr:row>
      <xdr:rowOff>98433</xdr:rowOff>
    </xdr:from>
    <xdr:to>
      <xdr:col>15</xdr:col>
      <xdr:colOff>495358</xdr:colOff>
      <xdr:row>23</xdr:row>
      <xdr:rowOff>71221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7B476-31D9-45AC-AF5D-E7A60A702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127964</xdr:colOff>
      <xdr:row>6</xdr:row>
      <xdr:rowOff>71507</xdr:rowOff>
    </xdr:from>
    <xdr:to>
      <xdr:col>23</xdr:col>
      <xdr:colOff>522571</xdr:colOff>
      <xdr:row>23</xdr:row>
      <xdr:rowOff>84828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03BB13-E48C-4918-8962-1CAFC71D0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I" refreshedDate="46094.456157523149" createdVersion="8" refreshedVersion="8" minRefreshableVersion="3" recordCount="200" xr:uid="{5F1CFDB2-C892-44C4-BE2F-88A3A6E3B9C4}">
  <cacheSource type="worksheet">
    <worksheetSource name="Table1"/>
  </cacheSource>
  <cacheFields count="14">
    <cacheField name="Customer_ID" numFmtId="0">
      <sharedItems/>
    </cacheField>
    <cacheField name="Customer_Name" numFmtId="0">
      <sharedItems/>
    </cacheField>
    <cacheField name="Region" numFmtId="0">
      <sharedItems count="5">
        <s v="Central"/>
        <s v="North"/>
        <s v="West"/>
        <s v="East"/>
        <s v="South"/>
      </sharedItems>
    </cacheField>
    <cacheField name="Product_Category" numFmtId="0">
      <sharedItems count="5">
        <s v="Books"/>
        <s v="Furniture"/>
        <s v="Clothing"/>
        <s v="Electronics"/>
        <s v="Office Supplies"/>
      </sharedItems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9T00:00:00"/>
        <d v="2024-04-27T00:00:00"/>
        <d v="2024-04-29T00:00:00"/>
        <d v="2024-04-14T00:00:00"/>
        <d v="2024-04-24T00:00:00"/>
        <d v="2024-04-15T00:00:00"/>
        <d v="2024-04-16T00:00:00"/>
        <d v="2024-04-10T00:00:00"/>
        <d v="2024-04-11T00:00:00"/>
        <d v="2024-04-22T00:00:00"/>
        <d v="2024-04-28T00:00:00"/>
        <d v="2024-04-30T00:00:00"/>
        <d v="2024-04-20T00:00:00"/>
        <d v="2025-04-05T00:00:00"/>
        <d v="2025-04-02T00:00:00"/>
        <d v="2025-04-07T00:00:00"/>
        <d v="2024-08-18T00:00:00"/>
        <d v="2024-08-05T00:00:00"/>
        <d v="2024-08-30T00:00:00"/>
        <d v="2024-08-19T00:00:00"/>
        <d v="2024-08-09T00:00:00"/>
        <d v="2024-08-15T00:00:00"/>
        <d v="2024-08-22T00:00:00"/>
        <d v="2024-08-08T00:00:00"/>
        <d v="2024-12-25T00:00:00"/>
        <d v="2024-12-24T00:00:00"/>
        <d v="2024-12-05T00:00:00"/>
        <d v="2024-12-12T00:00:00"/>
        <d v="2024-12-04T00:00:00"/>
        <d v="2024-12-21T00:00:00"/>
        <d v="2024-12-20T00:00:00"/>
        <d v="2024-12-30T00:00:00"/>
        <d v="2024-12-14T00:00:00"/>
        <d v="2025-02-15T00:00:00"/>
        <d v="2025-02-24T00:00:00"/>
        <d v="2025-02-07T00:00:00"/>
        <d v="2025-02-27T00:00:00"/>
        <d v="2025-02-05T00:00:00"/>
        <d v="2025-02-19T00:00:00"/>
        <d v="2025-02-25T00:00:00"/>
        <d v="2025-02-20T00:00:00"/>
        <d v="2025-02-04T00:00:00"/>
        <d v="2025-02-02T00:00:00"/>
        <d v="2025-02-17T00:00:00"/>
        <d v="2025-02-21T00:00:00"/>
        <d v="2025-02-10T00:00:00"/>
        <d v="2025-01-01T00:00:00"/>
        <d v="2025-01-16T00:00:00"/>
        <d v="2025-01-27T00:00:00"/>
        <d v="2025-01-21T00:00:00"/>
        <d v="2025-01-03T00:00:00"/>
        <d v="2025-01-06T00:00:00"/>
        <d v="2025-01-02T00:00:00"/>
        <d v="2025-01-12T00:00:00"/>
        <d v="2025-01-17T00:00:00"/>
        <d v="2025-01-10T00:00:00"/>
        <d v="2025-01-20T00:00:00"/>
        <d v="2025-01-13T00:00:00"/>
        <d v="2024-07-06T00:00:00"/>
        <d v="2024-07-30T00:00:00"/>
        <d v="2024-07-29T00:00:00"/>
        <d v="2024-07-15T00:00:00"/>
        <d v="2024-07-08T00:00:00"/>
        <d v="2024-07-31T00:00:00"/>
        <d v="2024-07-21T00:00:00"/>
        <d v="2024-07-14T00:00:00"/>
        <d v="2024-07-09T00:00:00"/>
        <d v="2024-07-05T00:00:00"/>
        <d v="2024-06-04T00:00:00"/>
        <d v="2024-06-28T00:00:00"/>
        <d v="2024-06-14T00:00:00"/>
        <d v="2024-06-25T00:00:00"/>
        <d v="2024-06-05T00:00:00"/>
        <d v="2024-06-06T00:00:00"/>
        <d v="2024-06-23T00:00:00"/>
        <d v="2024-06-27T00:00:00"/>
        <d v="2024-06-07T00:00:00"/>
        <d v="2024-06-18T00:00:00"/>
        <d v="2024-06-21T00:00:00"/>
        <d v="2024-06-02T00:00:00"/>
        <d v="2024-06-08T00:00:00"/>
        <d v="2024-06-20T00:00:00"/>
        <d v="2024-06-30T00:00:00"/>
        <d v="2025-03-10T00:00:00"/>
        <d v="2025-03-25T00:00:00"/>
        <d v="2025-03-08T00:00:00"/>
        <d v="2025-03-22T00:00:00"/>
        <d v="2025-03-20T00:00:00"/>
        <d v="2025-03-05T00:00:00"/>
        <d v="2025-03-27T00:00:00"/>
        <d v="2025-03-11T00:00:00"/>
        <d v="2025-03-30T00:00:00"/>
        <d v="2025-03-17T00:00:00"/>
        <d v="2025-03-01T00:00:00"/>
        <d v="2025-03-09T00:00:00"/>
        <d v="2025-03-29T00:00:00"/>
        <d v="2025-03-02T00:00:00"/>
        <d v="2025-03-26T00:00:00"/>
        <d v="2025-03-18T00:00:00"/>
        <d v="2024-05-04T00:00:00"/>
        <d v="2024-05-17T00:00:00"/>
        <d v="2024-05-23T00:00:00"/>
        <d v="2024-05-02T00:00:00"/>
        <d v="2024-05-08T00:00:00"/>
        <d v="2024-05-22T00:00:00"/>
        <d v="2024-05-14T00:00:00"/>
        <d v="2024-05-16T00:00:00"/>
        <d v="2024-05-06T00:00:00"/>
        <d v="2024-05-10T00:00:00"/>
        <d v="2024-05-03T00:00:00"/>
        <d v="2024-05-15T00:00:00"/>
        <d v="2024-11-20T00:00:00"/>
        <d v="2024-11-17T00:00:00"/>
        <d v="2024-11-30T00:00:00"/>
        <d v="2024-11-26T00:00:00"/>
        <d v="2024-11-29T00:00:00"/>
        <d v="2024-11-19T00:00:00"/>
        <d v="2024-11-09T00:00:00"/>
        <d v="2024-11-03T00:00:00"/>
        <d v="2024-11-16T00:00:00"/>
        <d v="2024-11-28T00:00:00"/>
        <d v="2024-11-12T00:00:00"/>
        <d v="2024-11-15T00:00:00"/>
        <d v="2024-11-01T00:00:00"/>
        <d v="2024-10-28T00:00:00"/>
        <d v="2024-10-30T00:00:00"/>
        <d v="2024-10-19T00:00:00"/>
        <d v="2024-10-16T00:00:00"/>
        <d v="2024-10-20T00:00:00"/>
        <d v="2024-10-05T00:00:00"/>
        <d v="2024-10-12T00:00:00"/>
        <d v="2024-10-17T00:00:00"/>
        <d v="2024-10-02T00:00:00"/>
        <d v="2024-10-10T00:00:00"/>
        <d v="2024-10-15T00:00:00"/>
        <d v="2024-09-30T00:00:00"/>
        <d v="2024-09-17T00:00:00"/>
        <d v="2024-09-01T00:00:00"/>
        <d v="2024-09-29T00:00:00"/>
        <d v="2024-09-11T00:00:00"/>
        <d v="2024-09-23T00:00:00"/>
        <d v="2024-09-22T00:00:00"/>
        <d v="2024-09-16T00:00:00"/>
        <d v="2024-09-14T00:00:00"/>
        <d v="2024-09-18T00:00:00"/>
        <d v="2024-09-09T00:00:00"/>
        <d v="2024-09-24T00:00:00"/>
        <d v="2024-09-12T00:00:00"/>
      </sharedItems>
      <fieldGroup par="13"/>
    </cacheField>
    <cacheField name="Monthly" numFmtId="0">
      <sharedItems count="13">
        <s v="Apr-2024"/>
        <s v="Apr-2025"/>
        <s v="Aug-2024"/>
        <s v="Dec-2024"/>
        <s v="Feb-2025"/>
        <s v="Jan-2025"/>
        <s v="Jul-2024"/>
        <s v="Jun-2024"/>
        <s v="Mar-2025"/>
        <s v="May-2024"/>
        <s v="Nov-2024"/>
        <s v="Oct-2024"/>
        <s v="Sep-2024"/>
      </sharedItems>
    </cacheField>
    <cacheField name="Sales" numFmtId="0">
      <sharedItems containsSemiMixedTypes="0" containsString="0" containsNumber="1" minValue="258.51" maxValue="1923.66"/>
    </cacheField>
    <cacheField name="Profit" numFmtId="0">
      <sharedItems containsSemiMixedTypes="0" containsString="0" containsNumber="1" minValue="64.63" maxValue="769.46"/>
    </cacheField>
    <cacheField name="TimeStamp" numFmtId="22">
      <sharedItems containsSemiMixedTypes="0" containsNonDate="0" containsDate="1" containsString="0" minDate="2026-03-13T10:47:08" maxDate="2026-03-13T10:47:08"/>
    </cacheField>
    <cacheField name="Months (Order_Date)" numFmtId="0" databaseField="0">
      <fieldGroup base="6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6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6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09"/>
    <s v="Linda Jackson"/>
    <x v="0"/>
    <x v="0"/>
    <n v="11"/>
    <n v="0.05"/>
    <x v="0"/>
    <x v="0"/>
    <n v="501.54"/>
    <n v="190.59"/>
    <d v="2026-03-13T10:47:08"/>
  </r>
  <r>
    <s v="CUST029"/>
    <s v="David Smith"/>
    <x v="1"/>
    <x v="1"/>
    <n v="15"/>
    <n v="0.15"/>
    <x v="1"/>
    <x v="0"/>
    <n v="521.66999999999996"/>
    <n v="155.19999999999999"/>
    <d v="2026-03-13T10:47:08"/>
  </r>
  <r>
    <s v="CUST001"/>
    <s v="Lisa Thomas"/>
    <x v="2"/>
    <x v="0"/>
    <n v="4"/>
    <n v="0.2"/>
    <x v="2"/>
    <x v="0"/>
    <n v="636.70000000000005"/>
    <n v="203.74"/>
    <d v="2026-03-13T10:47:08"/>
  </r>
  <r>
    <s v="CUST017"/>
    <s v="James Taylor"/>
    <x v="3"/>
    <x v="0"/>
    <n v="17"/>
    <n v="0"/>
    <x v="3"/>
    <x v="0"/>
    <n v="713.34"/>
    <n v="285.33999999999997"/>
    <d v="2026-03-13T10:47:08"/>
  </r>
  <r>
    <s v="CUST010"/>
    <s v="David Thomas"/>
    <x v="0"/>
    <x v="2"/>
    <n v="2"/>
    <n v="0.05"/>
    <x v="0"/>
    <x v="0"/>
    <n v="737.31"/>
    <n v="350.22"/>
    <d v="2026-03-13T10:47:08"/>
  </r>
  <r>
    <s v="CUST005"/>
    <s v="Robert Anderson"/>
    <x v="4"/>
    <x v="3"/>
    <n v="4"/>
    <n v="0.15"/>
    <x v="3"/>
    <x v="0"/>
    <n v="760.93"/>
    <n v="161.69999999999999"/>
    <d v="2026-03-13T10:47:08"/>
  </r>
  <r>
    <s v="CUST023"/>
    <s v="Robert Anderson"/>
    <x v="2"/>
    <x v="1"/>
    <n v="7"/>
    <n v="0.05"/>
    <x v="4"/>
    <x v="0"/>
    <n v="822.28"/>
    <n v="273.41000000000003"/>
    <d v="2026-03-13T10:47:08"/>
  </r>
  <r>
    <s v="CUST030"/>
    <s v="James Wilson"/>
    <x v="1"/>
    <x v="0"/>
    <n v="12"/>
    <n v="0.2"/>
    <x v="5"/>
    <x v="0"/>
    <n v="847"/>
    <n v="271.04000000000002"/>
    <d v="2026-03-13T10:47:08"/>
  </r>
  <r>
    <s v="CUST008"/>
    <s v="Robert Anderson"/>
    <x v="4"/>
    <x v="0"/>
    <n v="10"/>
    <n v="0.15"/>
    <x v="2"/>
    <x v="0"/>
    <n v="877.58"/>
    <n v="298.38"/>
    <d v="2026-03-13T10:47:08"/>
  </r>
  <r>
    <s v="CUST007"/>
    <s v="Michael Anderson"/>
    <x v="1"/>
    <x v="1"/>
    <n v="8"/>
    <n v="0.1"/>
    <x v="6"/>
    <x v="0"/>
    <n v="965.64"/>
    <n v="304.18"/>
    <d v="2026-03-13T10:47:08"/>
  </r>
  <r>
    <s v="CUST019"/>
    <s v="James Davis"/>
    <x v="2"/>
    <x v="0"/>
    <n v="4"/>
    <n v="0.2"/>
    <x v="7"/>
    <x v="0"/>
    <n v="1036.0899999999999"/>
    <n v="331.55"/>
    <d v="2026-03-13T10:47:08"/>
  </r>
  <r>
    <s v="CUST026"/>
    <s v="Mary Davis"/>
    <x v="3"/>
    <x v="1"/>
    <n v="6"/>
    <n v="0.2"/>
    <x v="0"/>
    <x v="0"/>
    <n v="1074.47"/>
    <n v="300.85000000000002"/>
    <d v="2026-03-13T10:47:08"/>
  </r>
  <r>
    <s v="CUST012"/>
    <s v="Robert Anderson"/>
    <x v="2"/>
    <x v="2"/>
    <n v="3"/>
    <n v="0.2"/>
    <x v="8"/>
    <x v="0"/>
    <n v="1101.28"/>
    <n v="440.51"/>
    <d v="2026-03-13T10:47:08"/>
  </r>
  <r>
    <s v="CUST007"/>
    <s v="Michael Anderson"/>
    <x v="0"/>
    <x v="0"/>
    <n v="14"/>
    <n v="0.05"/>
    <x v="4"/>
    <x v="0"/>
    <n v="1191.58"/>
    <n v="452.8"/>
    <d v="2026-03-13T10:47:08"/>
  </r>
  <r>
    <s v="CUST001"/>
    <s v="Linda Wilson"/>
    <x v="2"/>
    <x v="3"/>
    <n v="12"/>
    <n v="0.05"/>
    <x v="6"/>
    <x v="0"/>
    <n v="1317.53"/>
    <n v="312.91000000000003"/>
    <d v="2026-03-13T10:47:08"/>
  </r>
  <r>
    <s v="CUST014"/>
    <s v="David Thomas"/>
    <x v="0"/>
    <x v="0"/>
    <n v="14"/>
    <n v="0.15"/>
    <x v="9"/>
    <x v="0"/>
    <n v="1343.13"/>
    <n v="456.66"/>
    <d v="2026-03-13T10:47:08"/>
  </r>
  <r>
    <s v="CUST005"/>
    <s v="Sarah Anderson"/>
    <x v="4"/>
    <x v="3"/>
    <n v="14"/>
    <n v="0.2"/>
    <x v="10"/>
    <x v="0"/>
    <n v="1502.93"/>
    <n v="300.58999999999997"/>
    <d v="2026-03-13T10:47:08"/>
  </r>
  <r>
    <s v="CUST006"/>
    <s v="Mary Jackson"/>
    <x v="2"/>
    <x v="0"/>
    <n v="13"/>
    <n v="0.2"/>
    <x v="11"/>
    <x v="0"/>
    <n v="1506.14"/>
    <n v="481.96"/>
    <d v="2026-03-13T10:47:08"/>
  </r>
  <r>
    <s v="CUST014"/>
    <s v="Emma Davis"/>
    <x v="2"/>
    <x v="4"/>
    <n v="6"/>
    <n v="0.05"/>
    <x v="12"/>
    <x v="0"/>
    <n v="1572.82"/>
    <n v="672.38"/>
    <d v="2026-03-13T10:47:08"/>
  </r>
  <r>
    <s v="CUST015"/>
    <s v="Sarah Anderson"/>
    <x v="2"/>
    <x v="4"/>
    <n v="17"/>
    <n v="0"/>
    <x v="13"/>
    <x v="1"/>
    <n v="545.44000000000005"/>
    <n v="245.45"/>
    <d v="2026-03-13T10:47:08"/>
  </r>
  <r>
    <s v="CUST028"/>
    <s v="Robert Anderson"/>
    <x v="4"/>
    <x v="4"/>
    <n v="3"/>
    <n v="0"/>
    <x v="14"/>
    <x v="1"/>
    <n v="740.8"/>
    <n v="333.36"/>
    <d v="2026-03-13T10:47:08"/>
  </r>
  <r>
    <s v="CUST016"/>
    <s v="David Thomas"/>
    <x v="4"/>
    <x v="2"/>
    <n v="2"/>
    <n v="0.05"/>
    <x v="15"/>
    <x v="1"/>
    <n v="928.32"/>
    <n v="440.95"/>
    <d v="2026-03-13T10:47:08"/>
  </r>
  <r>
    <s v="CUST010"/>
    <s v="David Thomas"/>
    <x v="3"/>
    <x v="0"/>
    <n v="8"/>
    <n v="0.05"/>
    <x v="13"/>
    <x v="1"/>
    <n v="997.61"/>
    <n v="379.09"/>
    <d v="2026-03-13T10:47:08"/>
  </r>
  <r>
    <s v="CUST004"/>
    <s v="Lisa Thomas"/>
    <x v="1"/>
    <x v="1"/>
    <n v="7"/>
    <n v="0.05"/>
    <x v="16"/>
    <x v="2"/>
    <n v="518.07000000000005"/>
    <n v="172.26"/>
    <d v="2026-03-13T10:47:08"/>
  </r>
  <r>
    <s v="CUST024"/>
    <s v="David Brown"/>
    <x v="3"/>
    <x v="3"/>
    <n v="10"/>
    <n v="0.15"/>
    <x v="17"/>
    <x v="2"/>
    <n v="539.77"/>
    <n v="114.7"/>
    <d v="2026-03-13T10:47:08"/>
  </r>
  <r>
    <s v="CUST007"/>
    <s v="David Brown"/>
    <x v="1"/>
    <x v="0"/>
    <n v="19"/>
    <n v="0"/>
    <x v="18"/>
    <x v="2"/>
    <n v="679.71"/>
    <n v="271.88"/>
    <d v="2026-03-13T10:47:08"/>
  </r>
  <r>
    <s v="CUST012"/>
    <s v="David Anderson"/>
    <x v="4"/>
    <x v="0"/>
    <n v="5"/>
    <n v="0.2"/>
    <x v="17"/>
    <x v="2"/>
    <n v="804.45"/>
    <n v="257.42"/>
    <d v="2026-03-13T10:47:08"/>
  </r>
  <r>
    <s v="CUST026"/>
    <s v="Linda Wilson"/>
    <x v="2"/>
    <x v="4"/>
    <n v="1"/>
    <n v="0"/>
    <x v="19"/>
    <x v="2"/>
    <n v="1111.3399999999999"/>
    <n v="500.1"/>
    <d v="2026-03-13T10:47:08"/>
  </r>
  <r>
    <s v="CUST020"/>
    <s v="Linda Jackson"/>
    <x v="3"/>
    <x v="1"/>
    <n v="17"/>
    <n v="0"/>
    <x v="18"/>
    <x v="2"/>
    <n v="1143.69"/>
    <n v="400.29"/>
    <d v="2026-03-13T10:47:08"/>
  </r>
  <r>
    <s v="CUST012"/>
    <s v="Linda Wilson"/>
    <x v="2"/>
    <x v="3"/>
    <n v="5"/>
    <n v="0.15"/>
    <x v="20"/>
    <x v="2"/>
    <n v="1215.26"/>
    <n v="258.24"/>
    <d v="2026-03-13T10:47:08"/>
  </r>
  <r>
    <s v="CUST005"/>
    <s v="Linda Taylor"/>
    <x v="0"/>
    <x v="1"/>
    <n v="3"/>
    <n v="0"/>
    <x v="21"/>
    <x v="2"/>
    <n v="1261.3399999999999"/>
    <n v="441.47"/>
    <d v="2026-03-13T10:47:08"/>
  </r>
  <r>
    <s v="CUST030"/>
    <s v="Mary Davis"/>
    <x v="3"/>
    <x v="2"/>
    <n v="18"/>
    <n v="0.1"/>
    <x v="22"/>
    <x v="2"/>
    <n v="1291.47"/>
    <n v="581.16"/>
    <d v="2026-03-13T10:47:08"/>
  </r>
  <r>
    <s v="CUST024"/>
    <s v="Emma Davis"/>
    <x v="2"/>
    <x v="3"/>
    <n v="13"/>
    <n v="0.2"/>
    <x v="23"/>
    <x v="2"/>
    <n v="1526.6"/>
    <n v="305.32"/>
    <d v="2026-03-13T10:47:08"/>
  </r>
  <r>
    <s v="CUST001"/>
    <s v="David Anderson"/>
    <x v="1"/>
    <x v="2"/>
    <n v="13"/>
    <n v="0.2"/>
    <x v="24"/>
    <x v="3"/>
    <n v="336.66"/>
    <n v="134.66"/>
    <d v="2026-03-13T10:47:08"/>
  </r>
  <r>
    <s v="CUST022"/>
    <s v="Lisa Thomas"/>
    <x v="0"/>
    <x v="4"/>
    <n v="16"/>
    <n v="0.05"/>
    <x v="25"/>
    <x v="3"/>
    <n v="388.23"/>
    <n v="165.97"/>
    <d v="2026-03-13T10:47:08"/>
  </r>
  <r>
    <s v="CUST015"/>
    <s v="Emma Davis"/>
    <x v="0"/>
    <x v="3"/>
    <n v="8"/>
    <n v="0.05"/>
    <x v="26"/>
    <x v="3"/>
    <n v="511.74"/>
    <n v="121.54"/>
    <d v="2026-03-13T10:47:08"/>
  </r>
  <r>
    <s v="CUST002"/>
    <s v="Emma Wilson"/>
    <x v="4"/>
    <x v="1"/>
    <n v="19"/>
    <n v="0.05"/>
    <x v="27"/>
    <x v="3"/>
    <n v="806.03"/>
    <n v="268"/>
    <d v="2026-03-13T10:47:08"/>
  </r>
  <r>
    <s v="CUST015"/>
    <s v="David Anderson"/>
    <x v="2"/>
    <x v="1"/>
    <n v="4"/>
    <n v="0.2"/>
    <x v="28"/>
    <x v="3"/>
    <n v="820.19"/>
    <n v="229.65"/>
    <d v="2026-03-13T10:47:08"/>
  </r>
  <r>
    <s v="CUST026"/>
    <s v="Sarah Anderson"/>
    <x v="2"/>
    <x v="3"/>
    <n v="19"/>
    <n v="0.2"/>
    <x v="29"/>
    <x v="3"/>
    <n v="1161.67"/>
    <n v="232.33"/>
    <d v="2026-03-13T10:47:08"/>
  </r>
  <r>
    <s v="CUST026"/>
    <s v="Emma Taylor"/>
    <x v="3"/>
    <x v="0"/>
    <n v="9"/>
    <n v="0"/>
    <x v="30"/>
    <x v="3"/>
    <n v="1231.26"/>
    <n v="492.5"/>
    <d v="2026-03-13T10:47:08"/>
  </r>
  <r>
    <s v="CUST022"/>
    <s v="James Wilson"/>
    <x v="2"/>
    <x v="0"/>
    <n v="14"/>
    <n v="0.1"/>
    <x v="31"/>
    <x v="3"/>
    <n v="1353.79"/>
    <n v="487.36"/>
    <d v="2026-03-13T10:47:08"/>
  </r>
  <r>
    <s v="CUST001"/>
    <s v="Michael Anderson"/>
    <x v="0"/>
    <x v="1"/>
    <n v="16"/>
    <n v="0.15"/>
    <x v="32"/>
    <x v="3"/>
    <n v="1432.47"/>
    <n v="426.16"/>
    <d v="2026-03-13T10:47:08"/>
  </r>
  <r>
    <s v="CUST027"/>
    <s v="Linda Wilson"/>
    <x v="0"/>
    <x v="3"/>
    <n v="10"/>
    <n v="0.15"/>
    <x v="32"/>
    <x v="3"/>
    <n v="1488.58"/>
    <n v="316.32"/>
    <d v="2026-03-13T10:47:08"/>
  </r>
  <r>
    <s v="CUST004"/>
    <s v="Mary Davis"/>
    <x v="1"/>
    <x v="2"/>
    <n v="6"/>
    <n v="0.15"/>
    <x v="24"/>
    <x v="3"/>
    <n v="1589.42"/>
    <n v="675.5"/>
    <d v="2026-03-13T10:47:08"/>
  </r>
  <r>
    <s v="CUST004"/>
    <s v="Mary Davis"/>
    <x v="4"/>
    <x v="4"/>
    <n v="19"/>
    <n v="0.1"/>
    <x v="33"/>
    <x v="4"/>
    <n v="573.32000000000005"/>
    <n v="232.19"/>
    <d v="2026-03-13T10:47:08"/>
  </r>
  <r>
    <s v="CUST003"/>
    <s v="Sarah Anderson"/>
    <x v="4"/>
    <x v="0"/>
    <n v="15"/>
    <n v="0.2"/>
    <x v="34"/>
    <x v="4"/>
    <n v="704.28"/>
    <n v="225.37"/>
    <d v="2026-03-13T10:47:08"/>
  </r>
  <r>
    <s v="CUST024"/>
    <s v="Linda Wilson"/>
    <x v="0"/>
    <x v="2"/>
    <n v="16"/>
    <n v="0.1"/>
    <x v="35"/>
    <x v="4"/>
    <n v="741.88"/>
    <n v="333.85"/>
    <d v="2026-03-13T10:47:08"/>
  </r>
  <r>
    <s v="CUST018"/>
    <s v="Mary Davis"/>
    <x v="0"/>
    <x v="2"/>
    <n v="18"/>
    <n v="0.2"/>
    <x v="36"/>
    <x v="4"/>
    <n v="826.97"/>
    <n v="330.79"/>
    <d v="2026-03-13T10:47:08"/>
  </r>
  <r>
    <s v="CUST002"/>
    <s v="Lisa Davis"/>
    <x v="2"/>
    <x v="4"/>
    <n v="7"/>
    <n v="0.1"/>
    <x v="37"/>
    <x v="4"/>
    <n v="827.25"/>
    <n v="335.04"/>
    <d v="2026-03-13T10:47:08"/>
  </r>
  <r>
    <s v="CUST012"/>
    <s v="Lisa Thomas"/>
    <x v="1"/>
    <x v="2"/>
    <n v="4"/>
    <n v="0"/>
    <x v="38"/>
    <x v="4"/>
    <n v="845.84"/>
    <n v="422.92"/>
    <d v="2026-03-13T10:47:08"/>
  </r>
  <r>
    <s v="CUST013"/>
    <s v="Linda Taylor"/>
    <x v="0"/>
    <x v="0"/>
    <n v="2"/>
    <n v="0.15"/>
    <x v="39"/>
    <x v="4"/>
    <n v="1014.43"/>
    <n v="344.91"/>
    <d v="2026-03-13T10:47:08"/>
  </r>
  <r>
    <s v="CUST026"/>
    <s v="David Brown"/>
    <x v="2"/>
    <x v="3"/>
    <n v="3"/>
    <n v="0"/>
    <x v="40"/>
    <x v="4"/>
    <n v="1029.8"/>
    <n v="257.45"/>
    <d v="2026-03-13T10:47:08"/>
  </r>
  <r>
    <s v="CUST015"/>
    <s v="Lisa Thomas"/>
    <x v="3"/>
    <x v="0"/>
    <n v="9"/>
    <n v="0.1"/>
    <x v="41"/>
    <x v="4"/>
    <n v="1098.08"/>
    <n v="395.31"/>
    <d v="2026-03-13T10:47:08"/>
  </r>
  <r>
    <s v="CUST030"/>
    <s v="Mary Davis"/>
    <x v="3"/>
    <x v="2"/>
    <n v="5"/>
    <n v="0.2"/>
    <x v="42"/>
    <x v="4"/>
    <n v="1109.98"/>
    <n v="443.99"/>
    <d v="2026-03-13T10:47:08"/>
  </r>
  <r>
    <s v="CUST028"/>
    <s v="James Wilson"/>
    <x v="2"/>
    <x v="3"/>
    <n v="14"/>
    <n v="0.2"/>
    <x v="43"/>
    <x v="4"/>
    <n v="1115.22"/>
    <n v="223.04"/>
    <d v="2026-03-13T10:47:08"/>
  </r>
  <r>
    <s v="CUST009"/>
    <s v="Mary Davis"/>
    <x v="1"/>
    <x v="0"/>
    <n v="2"/>
    <n v="0.2"/>
    <x v="44"/>
    <x v="4"/>
    <n v="1189.83"/>
    <n v="380.75"/>
    <d v="2026-03-13T10:47:08"/>
  </r>
  <r>
    <s v="CUST004"/>
    <s v="James Davis"/>
    <x v="3"/>
    <x v="4"/>
    <n v="6"/>
    <n v="0.1"/>
    <x v="45"/>
    <x v="4"/>
    <n v="1311.26"/>
    <n v="531.05999999999995"/>
    <d v="2026-03-13T10:47:08"/>
  </r>
  <r>
    <s v="CUST002"/>
    <s v="Mary Jackson"/>
    <x v="0"/>
    <x v="4"/>
    <n v="12"/>
    <n v="0.2"/>
    <x v="34"/>
    <x v="4"/>
    <n v="1618.22"/>
    <n v="582.55999999999995"/>
    <d v="2026-03-13T10:47:08"/>
  </r>
  <r>
    <s v="CUST028"/>
    <s v="Lisa Davis"/>
    <x v="1"/>
    <x v="4"/>
    <n v="1"/>
    <n v="0.2"/>
    <x v="46"/>
    <x v="5"/>
    <n v="309.42"/>
    <n v="111.39"/>
    <d v="2026-03-13T10:47:08"/>
  </r>
  <r>
    <s v="CUST015"/>
    <s v="David Thomas"/>
    <x v="2"/>
    <x v="2"/>
    <n v="9"/>
    <n v="0.05"/>
    <x v="47"/>
    <x v="5"/>
    <n v="379.77"/>
    <n v="180.39"/>
    <d v="2026-03-13T10:47:08"/>
  </r>
  <r>
    <s v="CUST030"/>
    <s v="Sarah Anderson"/>
    <x v="2"/>
    <x v="2"/>
    <n v="17"/>
    <n v="0.1"/>
    <x v="48"/>
    <x v="5"/>
    <n v="585.16"/>
    <n v="263.32"/>
    <d v="2026-03-13T10:47:08"/>
  </r>
  <r>
    <s v="CUST018"/>
    <s v="Lisa Davis"/>
    <x v="1"/>
    <x v="0"/>
    <n v="11"/>
    <n v="0.2"/>
    <x v="49"/>
    <x v="5"/>
    <n v="640.64"/>
    <n v="205"/>
    <d v="2026-03-13T10:47:08"/>
  </r>
  <r>
    <s v="CUST011"/>
    <s v="Linda Moore"/>
    <x v="0"/>
    <x v="2"/>
    <n v="11"/>
    <n v="0.05"/>
    <x v="46"/>
    <x v="5"/>
    <n v="662.61"/>
    <n v="314.74"/>
    <d v="2026-03-13T10:47:08"/>
  </r>
  <r>
    <s v="CUST028"/>
    <s v="James Wilson"/>
    <x v="0"/>
    <x v="4"/>
    <n v="10"/>
    <n v="0.1"/>
    <x v="50"/>
    <x v="5"/>
    <n v="745.05"/>
    <n v="301.75"/>
    <d v="2026-03-13T10:47:08"/>
  </r>
  <r>
    <s v="CUST010"/>
    <s v="Linda Wilson"/>
    <x v="2"/>
    <x v="1"/>
    <n v="18"/>
    <n v="0.05"/>
    <x v="51"/>
    <x v="5"/>
    <n v="862.19"/>
    <n v="286.68"/>
    <d v="2026-03-13T10:47:08"/>
  </r>
  <r>
    <s v="CUST016"/>
    <s v="James Taylor"/>
    <x v="4"/>
    <x v="2"/>
    <n v="5"/>
    <n v="0.05"/>
    <x v="50"/>
    <x v="5"/>
    <n v="870.23"/>
    <n v="413.36"/>
    <d v="2026-03-13T10:47:08"/>
  </r>
  <r>
    <s v="CUST011"/>
    <s v="Linda Wilson"/>
    <x v="1"/>
    <x v="0"/>
    <n v="18"/>
    <n v="0.1"/>
    <x v="52"/>
    <x v="5"/>
    <n v="884.63"/>
    <n v="318.47000000000003"/>
    <d v="2026-03-13T10:47:08"/>
  </r>
  <r>
    <s v="CUST015"/>
    <s v="Robert Anderson"/>
    <x v="4"/>
    <x v="1"/>
    <n v="11"/>
    <n v="0.1"/>
    <x v="53"/>
    <x v="5"/>
    <n v="1054.56"/>
    <n v="332.19"/>
    <d v="2026-03-13T10:47:08"/>
  </r>
  <r>
    <s v="CUST008"/>
    <s v="Lisa Thomas"/>
    <x v="0"/>
    <x v="2"/>
    <n v="2"/>
    <n v="0.1"/>
    <x v="54"/>
    <x v="5"/>
    <n v="1076.33"/>
    <n v="484.35"/>
    <d v="2026-03-13T10:47:08"/>
  </r>
  <r>
    <s v="CUST023"/>
    <s v="James Taylor"/>
    <x v="4"/>
    <x v="2"/>
    <n v="6"/>
    <n v="0.2"/>
    <x v="54"/>
    <x v="5"/>
    <n v="1118.3399999999999"/>
    <n v="447.34"/>
    <d v="2026-03-13T10:47:08"/>
  </r>
  <r>
    <s v="CUST013"/>
    <s v="Mary Wilson"/>
    <x v="1"/>
    <x v="2"/>
    <n v="19"/>
    <n v="0.05"/>
    <x v="55"/>
    <x v="5"/>
    <n v="1171.18"/>
    <n v="556.30999999999995"/>
    <d v="2026-03-13T10:47:08"/>
  </r>
  <r>
    <s v="CUST008"/>
    <s v="Mary Davis"/>
    <x v="0"/>
    <x v="4"/>
    <n v="7"/>
    <n v="0"/>
    <x v="54"/>
    <x v="5"/>
    <n v="1250.71"/>
    <n v="562.82000000000005"/>
    <d v="2026-03-13T10:47:08"/>
  </r>
  <r>
    <s v="CUST024"/>
    <s v="Linda Taylor"/>
    <x v="1"/>
    <x v="2"/>
    <n v="12"/>
    <n v="0.2"/>
    <x v="56"/>
    <x v="5"/>
    <n v="1622.62"/>
    <n v="649.04999999999995"/>
    <d v="2026-03-13T10:47:08"/>
  </r>
  <r>
    <s v="CUST015"/>
    <s v="James Wilson"/>
    <x v="1"/>
    <x v="3"/>
    <n v="5"/>
    <n v="0.2"/>
    <x v="57"/>
    <x v="5"/>
    <n v="1681.21"/>
    <n v="336.24"/>
    <d v="2026-03-13T10:47:08"/>
  </r>
  <r>
    <s v="CUST010"/>
    <s v="David Brown"/>
    <x v="0"/>
    <x v="4"/>
    <n v="9"/>
    <n v="0"/>
    <x v="58"/>
    <x v="6"/>
    <n v="488.99"/>
    <n v="220.05"/>
    <d v="2026-03-13T10:47:08"/>
  </r>
  <r>
    <s v="CUST030"/>
    <s v="David Brown"/>
    <x v="0"/>
    <x v="3"/>
    <n v="1"/>
    <n v="0.05"/>
    <x v="59"/>
    <x v="6"/>
    <n v="608.66"/>
    <n v="144.56"/>
    <d v="2026-03-13T10:47:08"/>
  </r>
  <r>
    <s v="CUST008"/>
    <s v="James Davis"/>
    <x v="0"/>
    <x v="4"/>
    <n v="1"/>
    <n v="0.05"/>
    <x v="60"/>
    <x v="6"/>
    <n v="804.81"/>
    <n v="344.06"/>
    <d v="2026-03-13T10:47:08"/>
  </r>
  <r>
    <s v="CUST002"/>
    <s v="Mary Davis"/>
    <x v="4"/>
    <x v="0"/>
    <n v="12"/>
    <n v="0.05"/>
    <x v="61"/>
    <x v="6"/>
    <n v="876.44"/>
    <n v="333.05"/>
    <d v="2026-03-13T10:47:08"/>
  </r>
  <r>
    <s v="CUST026"/>
    <s v="Mary Davis"/>
    <x v="3"/>
    <x v="1"/>
    <n v="17"/>
    <n v="0.1"/>
    <x v="62"/>
    <x v="6"/>
    <n v="933.71"/>
    <n v="294.12"/>
    <d v="2026-03-13T10:47:08"/>
  </r>
  <r>
    <s v="CUST020"/>
    <s v="Linda Moore"/>
    <x v="4"/>
    <x v="4"/>
    <n v="19"/>
    <n v="0"/>
    <x v="63"/>
    <x v="6"/>
    <n v="981.2"/>
    <n v="441.54"/>
    <d v="2026-03-13T10:47:08"/>
  </r>
  <r>
    <s v="CUST003"/>
    <s v="James Davis"/>
    <x v="2"/>
    <x v="3"/>
    <n v="17"/>
    <n v="0.2"/>
    <x v="62"/>
    <x v="6"/>
    <n v="1005.53"/>
    <n v="201.11"/>
    <d v="2026-03-13T10:47:08"/>
  </r>
  <r>
    <s v="CUST021"/>
    <s v="Mary Jackson"/>
    <x v="1"/>
    <x v="3"/>
    <n v="11"/>
    <n v="0.05"/>
    <x v="64"/>
    <x v="6"/>
    <n v="1020.26"/>
    <n v="242.31"/>
    <d v="2026-03-13T10:47:08"/>
  </r>
  <r>
    <s v="CUST003"/>
    <s v="James Wilson"/>
    <x v="1"/>
    <x v="1"/>
    <n v="15"/>
    <n v="0.15"/>
    <x v="65"/>
    <x v="6"/>
    <n v="1034.7"/>
    <n v="307.82"/>
    <d v="2026-03-13T10:47:08"/>
  </r>
  <r>
    <s v="CUST029"/>
    <s v="Emma Wilson"/>
    <x v="4"/>
    <x v="3"/>
    <n v="5"/>
    <n v="0.05"/>
    <x v="66"/>
    <x v="6"/>
    <n v="1100.0999999999999"/>
    <n v="261.27"/>
    <d v="2026-03-13T10:47:08"/>
  </r>
  <r>
    <s v="CUST020"/>
    <s v="David Brown"/>
    <x v="2"/>
    <x v="1"/>
    <n v="5"/>
    <n v="0.05"/>
    <x v="61"/>
    <x v="6"/>
    <n v="1371.34"/>
    <n v="455.97"/>
    <d v="2026-03-13T10:47:08"/>
  </r>
  <r>
    <s v="CUST021"/>
    <s v="Mary Davis"/>
    <x v="3"/>
    <x v="0"/>
    <n v="8"/>
    <n v="0.1"/>
    <x v="67"/>
    <x v="6"/>
    <n v="1383.3"/>
    <n v="497.99"/>
    <d v="2026-03-13T10:47:08"/>
  </r>
  <r>
    <s v="CUST023"/>
    <s v="David Davis"/>
    <x v="3"/>
    <x v="4"/>
    <n v="11"/>
    <n v="0.15"/>
    <x v="68"/>
    <x v="7"/>
    <n v="556.41999999999996"/>
    <n v="212.83"/>
    <d v="2026-03-13T10:47:08"/>
  </r>
  <r>
    <s v="CUST029"/>
    <s v="Sarah Davis"/>
    <x v="1"/>
    <x v="3"/>
    <n v="1"/>
    <n v="0.2"/>
    <x v="69"/>
    <x v="7"/>
    <n v="741.61"/>
    <n v="148.32"/>
    <d v="2026-03-13T10:47:08"/>
  </r>
  <r>
    <s v="CUST008"/>
    <s v="John Brown"/>
    <x v="4"/>
    <x v="3"/>
    <n v="6"/>
    <n v="0.1"/>
    <x v="70"/>
    <x v="7"/>
    <n v="775.45"/>
    <n v="174.48"/>
    <d v="2026-03-13T10:47:08"/>
  </r>
  <r>
    <s v="CUST009"/>
    <s v="Emma Davis"/>
    <x v="1"/>
    <x v="3"/>
    <n v="15"/>
    <n v="0.15"/>
    <x v="71"/>
    <x v="7"/>
    <n v="818.8"/>
    <n v="173.99"/>
    <d v="2026-03-13T10:47:08"/>
  </r>
  <r>
    <s v="CUST021"/>
    <s v="James Wilson"/>
    <x v="0"/>
    <x v="0"/>
    <n v="19"/>
    <n v="0.1"/>
    <x v="72"/>
    <x v="7"/>
    <n v="840.85"/>
    <n v="302.70999999999998"/>
    <d v="2026-03-13T10:47:08"/>
  </r>
  <r>
    <s v="CUST017"/>
    <s v="Linda Davis"/>
    <x v="0"/>
    <x v="3"/>
    <n v="2"/>
    <n v="0"/>
    <x v="73"/>
    <x v="7"/>
    <n v="856.7"/>
    <n v="214.18"/>
    <d v="2026-03-13T10:47:08"/>
  </r>
  <r>
    <s v="CUST005"/>
    <s v="Robert Anderson"/>
    <x v="4"/>
    <x v="1"/>
    <n v="10"/>
    <n v="0.2"/>
    <x v="71"/>
    <x v="7"/>
    <n v="919.04"/>
    <n v="257.33"/>
    <d v="2026-03-13T10:47:08"/>
  </r>
  <r>
    <s v="CUST002"/>
    <s v="Lisa Davis"/>
    <x v="2"/>
    <x v="0"/>
    <n v="18"/>
    <n v="0.1"/>
    <x v="74"/>
    <x v="7"/>
    <n v="942.9"/>
    <n v="339.44"/>
    <d v="2026-03-13T10:47:08"/>
  </r>
  <r>
    <s v="CUST030"/>
    <s v="Emma Taylor"/>
    <x v="0"/>
    <x v="0"/>
    <n v="11"/>
    <n v="0"/>
    <x v="75"/>
    <x v="7"/>
    <n v="973.26"/>
    <n v="389.3"/>
    <d v="2026-03-13T10:47:08"/>
  </r>
  <r>
    <s v="CUST011"/>
    <s v="Mary Davis"/>
    <x v="1"/>
    <x v="4"/>
    <n v="12"/>
    <n v="0"/>
    <x v="76"/>
    <x v="7"/>
    <n v="1001.57"/>
    <n v="450.71"/>
    <d v="2026-03-13T10:47:08"/>
  </r>
  <r>
    <s v="CUST007"/>
    <s v="Linda Jackson"/>
    <x v="4"/>
    <x v="3"/>
    <n v="6"/>
    <n v="0.05"/>
    <x v="77"/>
    <x v="7"/>
    <n v="1021.47"/>
    <n v="242.6"/>
    <d v="2026-03-13T10:47:08"/>
  </r>
  <r>
    <s v="CUST028"/>
    <s v="James Wilson"/>
    <x v="0"/>
    <x v="4"/>
    <n v="5"/>
    <n v="0.2"/>
    <x v="68"/>
    <x v="7"/>
    <n v="1025.98"/>
    <n v="369.35"/>
    <d v="2026-03-13T10:47:08"/>
  </r>
  <r>
    <s v="CUST030"/>
    <s v="Sarah Davis"/>
    <x v="4"/>
    <x v="1"/>
    <n v="2"/>
    <n v="0"/>
    <x v="78"/>
    <x v="7"/>
    <n v="1086.93"/>
    <n v="380.43"/>
    <d v="2026-03-13T10:47:08"/>
  </r>
  <r>
    <s v="CUST005"/>
    <s v="David Smith"/>
    <x v="4"/>
    <x v="0"/>
    <n v="15"/>
    <n v="0.1"/>
    <x v="79"/>
    <x v="7"/>
    <n v="1151.21"/>
    <n v="414.44"/>
    <d v="2026-03-13T10:47:08"/>
  </r>
  <r>
    <s v="CUST021"/>
    <s v="Michael Anderson"/>
    <x v="3"/>
    <x v="1"/>
    <n v="19"/>
    <n v="0.2"/>
    <x v="80"/>
    <x v="7"/>
    <n v="1186.8499999999999"/>
    <n v="332.32"/>
    <d v="2026-03-13T10:47:08"/>
  </r>
  <r>
    <s v="CUST025"/>
    <s v="David Davis"/>
    <x v="0"/>
    <x v="4"/>
    <n v="8"/>
    <n v="0.15"/>
    <x v="73"/>
    <x v="7"/>
    <n v="1225.42"/>
    <n v="468.72"/>
    <d v="2026-03-13T10:47:08"/>
  </r>
  <r>
    <s v="CUST015"/>
    <s v="James Wilson"/>
    <x v="4"/>
    <x v="2"/>
    <n v="7"/>
    <n v="0.1"/>
    <x v="81"/>
    <x v="7"/>
    <n v="1226.6199999999999"/>
    <n v="551.98"/>
    <d v="2026-03-13T10:47:08"/>
  </r>
  <r>
    <s v="CUST026"/>
    <s v="Emma Wilson"/>
    <x v="1"/>
    <x v="1"/>
    <n v="12"/>
    <n v="0.15"/>
    <x v="72"/>
    <x v="7"/>
    <n v="1227.25"/>
    <n v="365.11"/>
    <d v="2026-03-13T10:47:08"/>
  </r>
  <r>
    <s v="CUST003"/>
    <s v="Emma Davis"/>
    <x v="1"/>
    <x v="0"/>
    <n v="2"/>
    <n v="0.1"/>
    <x v="82"/>
    <x v="7"/>
    <n v="1248.82"/>
    <n v="449.58"/>
    <d v="2026-03-13T10:47:08"/>
  </r>
  <r>
    <s v="CUST012"/>
    <s v="Mary Wilson"/>
    <x v="2"/>
    <x v="2"/>
    <n v="17"/>
    <n v="0"/>
    <x v="82"/>
    <x v="7"/>
    <n v="1360.36"/>
    <n v="680.18"/>
    <d v="2026-03-13T10:47:08"/>
  </r>
  <r>
    <s v="CUST003"/>
    <s v="Emma Davis"/>
    <x v="3"/>
    <x v="4"/>
    <n v="18"/>
    <n v="0.05"/>
    <x v="83"/>
    <x v="8"/>
    <n v="438.76"/>
    <n v="187.57"/>
    <d v="2026-03-13T10:47:08"/>
  </r>
  <r>
    <s v="CUST029"/>
    <s v="Michael Anderson"/>
    <x v="1"/>
    <x v="3"/>
    <n v="15"/>
    <n v="0.2"/>
    <x v="84"/>
    <x v="8"/>
    <n v="458.54"/>
    <n v="91.71"/>
    <d v="2026-03-13T10:47:08"/>
  </r>
  <r>
    <s v="CUST028"/>
    <s v="Mary Wilson"/>
    <x v="1"/>
    <x v="0"/>
    <n v="15"/>
    <n v="0.2"/>
    <x v="85"/>
    <x v="8"/>
    <n v="499.18"/>
    <n v="159.74"/>
    <d v="2026-03-13T10:47:08"/>
  </r>
  <r>
    <s v="CUST023"/>
    <s v="Mary Wilson"/>
    <x v="4"/>
    <x v="2"/>
    <n v="1"/>
    <n v="0"/>
    <x v="86"/>
    <x v="8"/>
    <n v="682.24"/>
    <n v="341.12"/>
    <d v="2026-03-13T10:47:08"/>
  </r>
  <r>
    <s v="CUST009"/>
    <s v="Linda Taylor"/>
    <x v="4"/>
    <x v="2"/>
    <n v="9"/>
    <n v="0.1"/>
    <x v="87"/>
    <x v="8"/>
    <n v="689.43"/>
    <n v="310.24"/>
    <d v="2026-03-13T10:47:08"/>
  </r>
  <r>
    <s v="CUST028"/>
    <s v="Sarah Davis"/>
    <x v="1"/>
    <x v="0"/>
    <n v="8"/>
    <n v="0.1"/>
    <x v="88"/>
    <x v="8"/>
    <n v="710.52"/>
    <n v="255.79"/>
    <d v="2026-03-13T10:47:08"/>
  </r>
  <r>
    <s v="CUST030"/>
    <s v="Linda Taylor"/>
    <x v="1"/>
    <x v="0"/>
    <n v="10"/>
    <n v="0.15"/>
    <x v="89"/>
    <x v="8"/>
    <n v="750.71"/>
    <n v="255.24"/>
    <d v="2026-03-13T10:47:08"/>
  </r>
  <r>
    <s v="CUST007"/>
    <s v="James Davis"/>
    <x v="4"/>
    <x v="2"/>
    <n v="9"/>
    <n v="0"/>
    <x v="89"/>
    <x v="8"/>
    <n v="762.14"/>
    <n v="381.07"/>
    <d v="2026-03-13T10:47:08"/>
  </r>
  <r>
    <s v="CUST029"/>
    <s v="David Brown"/>
    <x v="2"/>
    <x v="2"/>
    <n v="2"/>
    <n v="0.05"/>
    <x v="90"/>
    <x v="8"/>
    <n v="864.98"/>
    <n v="410.87"/>
    <d v="2026-03-13T10:47:08"/>
  </r>
  <r>
    <s v="CUST014"/>
    <s v="Sarah Anderson"/>
    <x v="2"/>
    <x v="2"/>
    <n v="8"/>
    <n v="0.15"/>
    <x v="91"/>
    <x v="8"/>
    <n v="934.27"/>
    <n v="397.06"/>
    <d v="2026-03-13T10:47:08"/>
  </r>
  <r>
    <s v="CUST021"/>
    <s v="David Brown"/>
    <x v="2"/>
    <x v="1"/>
    <n v="14"/>
    <n v="0.2"/>
    <x v="92"/>
    <x v="8"/>
    <n v="984.93"/>
    <n v="275.77999999999997"/>
    <d v="2026-03-13T10:47:08"/>
  </r>
  <r>
    <s v="CUST017"/>
    <s v="Mary Davis"/>
    <x v="0"/>
    <x v="2"/>
    <n v="8"/>
    <n v="0.1"/>
    <x v="93"/>
    <x v="8"/>
    <n v="1022.23"/>
    <n v="460"/>
    <d v="2026-03-13T10:47:08"/>
  </r>
  <r>
    <s v="CUST014"/>
    <s v="Emma Davis"/>
    <x v="4"/>
    <x v="0"/>
    <n v="18"/>
    <n v="0.05"/>
    <x v="94"/>
    <x v="8"/>
    <n v="1064.19"/>
    <n v="404.39"/>
    <d v="2026-03-13T10:47:08"/>
  </r>
  <r>
    <s v="CUST008"/>
    <s v="Emma Wilson"/>
    <x v="3"/>
    <x v="1"/>
    <n v="17"/>
    <n v="0.1"/>
    <x v="95"/>
    <x v="8"/>
    <n v="1093.3800000000001"/>
    <n v="344.41"/>
    <d v="2026-03-13T10:47:08"/>
  </r>
  <r>
    <s v="CUST004"/>
    <s v="Linda Wilson"/>
    <x v="3"/>
    <x v="0"/>
    <n v="6"/>
    <n v="0"/>
    <x v="96"/>
    <x v="8"/>
    <n v="1099.69"/>
    <n v="439.88"/>
    <d v="2026-03-13T10:47:08"/>
  </r>
  <r>
    <s v="CUST009"/>
    <s v="Michael Anderson"/>
    <x v="4"/>
    <x v="1"/>
    <n v="11"/>
    <n v="0.2"/>
    <x v="97"/>
    <x v="8"/>
    <n v="1184.25"/>
    <n v="331.59"/>
    <d v="2026-03-13T10:47:08"/>
  </r>
  <r>
    <s v="CUST018"/>
    <s v="David Anderson"/>
    <x v="0"/>
    <x v="2"/>
    <n v="14"/>
    <n v="0.05"/>
    <x v="95"/>
    <x v="8"/>
    <n v="1456.94"/>
    <n v="692.05"/>
    <d v="2026-03-13T10:47:08"/>
  </r>
  <r>
    <s v="CUST024"/>
    <s v="David Thomas"/>
    <x v="0"/>
    <x v="2"/>
    <n v="8"/>
    <n v="0.2"/>
    <x v="91"/>
    <x v="8"/>
    <n v="1465.35"/>
    <n v="586.14"/>
    <d v="2026-03-13T10:47:08"/>
  </r>
  <r>
    <s v="CUST007"/>
    <s v="David Brown"/>
    <x v="2"/>
    <x v="2"/>
    <n v="18"/>
    <n v="0"/>
    <x v="98"/>
    <x v="8"/>
    <n v="1493.49"/>
    <n v="746.74"/>
    <d v="2026-03-13T10:47:08"/>
  </r>
  <r>
    <s v="CUST022"/>
    <s v="Robert Anderson"/>
    <x v="1"/>
    <x v="3"/>
    <n v="14"/>
    <n v="0.15"/>
    <x v="99"/>
    <x v="9"/>
    <n v="388.56"/>
    <n v="82.57"/>
    <d v="2026-03-13T10:47:08"/>
  </r>
  <r>
    <s v="CUST012"/>
    <s v="Michael Anderson"/>
    <x v="2"/>
    <x v="0"/>
    <n v="12"/>
    <n v="0.2"/>
    <x v="100"/>
    <x v="9"/>
    <n v="472.38"/>
    <n v="151.16"/>
    <d v="2026-03-13T10:47:08"/>
  </r>
  <r>
    <s v="CUST016"/>
    <s v="Emma Wilson"/>
    <x v="3"/>
    <x v="0"/>
    <n v="19"/>
    <n v="0.15"/>
    <x v="101"/>
    <x v="9"/>
    <n v="580.42999999999995"/>
    <n v="197.35"/>
    <d v="2026-03-13T10:47:08"/>
  </r>
  <r>
    <s v="CUST026"/>
    <s v="Mary Davis"/>
    <x v="0"/>
    <x v="3"/>
    <n v="4"/>
    <n v="0"/>
    <x v="102"/>
    <x v="9"/>
    <n v="645.02"/>
    <n v="161.26"/>
    <d v="2026-03-13T10:47:08"/>
  </r>
  <r>
    <s v="CUST030"/>
    <s v="John Brown"/>
    <x v="1"/>
    <x v="1"/>
    <n v="17"/>
    <n v="0"/>
    <x v="103"/>
    <x v="9"/>
    <n v="675.54"/>
    <n v="236.44"/>
    <d v="2026-03-13T10:47:08"/>
  </r>
  <r>
    <s v="CUST023"/>
    <s v="Mary Davis"/>
    <x v="0"/>
    <x v="3"/>
    <n v="6"/>
    <n v="0"/>
    <x v="99"/>
    <x v="9"/>
    <n v="706.37"/>
    <n v="176.59"/>
    <d v="2026-03-13T10:47:08"/>
  </r>
  <r>
    <s v="CUST019"/>
    <s v="Mary Davis"/>
    <x v="2"/>
    <x v="0"/>
    <n v="9"/>
    <n v="0"/>
    <x v="99"/>
    <x v="9"/>
    <n v="743.17"/>
    <n v="297.27"/>
    <d v="2026-03-13T10:47:08"/>
  </r>
  <r>
    <s v="CUST008"/>
    <s v="Mary Wilson"/>
    <x v="0"/>
    <x v="1"/>
    <n v="13"/>
    <n v="0.15"/>
    <x v="104"/>
    <x v="9"/>
    <n v="773.09"/>
    <n v="229.99"/>
    <d v="2026-03-13T10:47:08"/>
  </r>
  <r>
    <s v="CUST028"/>
    <s v="James Wilson"/>
    <x v="4"/>
    <x v="3"/>
    <n v="3"/>
    <n v="0.2"/>
    <x v="105"/>
    <x v="9"/>
    <n v="801.21"/>
    <n v="160.24"/>
    <d v="2026-03-13T10:47:08"/>
  </r>
  <r>
    <s v="CUST019"/>
    <s v="David Brown"/>
    <x v="3"/>
    <x v="4"/>
    <n v="9"/>
    <n v="0.05"/>
    <x v="100"/>
    <x v="9"/>
    <n v="840.92"/>
    <n v="359.49"/>
    <d v="2026-03-13T10:47:08"/>
  </r>
  <r>
    <s v="CUST001"/>
    <s v="Mary Jackson"/>
    <x v="2"/>
    <x v="1"/>
    <n v="5"/>
    <n v="0.15"/>
    <x v="106"/>
    <x v="9"/>
    <n v="853.72"/>
    <n v="253.98"/>
    <d v="2026-03-13T10:47:08"/>
  </r>
  <r>
    <s v="CUST012"/>
    <s v="Mary Davis"/>
    <x v="0"/>
    <x v="4"/>
    <n v="8"/>
    <n v="0.1"/>
    <x v="107"/>
    <x v="9"/>
    <n v="925.31"/>
    <n v="374.75"/>
    <d v="2026-03-13T10:47:08"/>
  </r>
  <r>
    <s v="CUST007"/>
    <s v="Robert Anderson"/>
    <x v="0"/>
    <x v="0"/>
    <n v="2"/>
    <n v="0.05"/>
    <x v="108"/>
    <x v="9"/>
    <n v="939.09"/>
    <n v="356.85"/>
    <d v="2026-03-13T10:47:08"/>
  </r>
  <r>
    <s v="CUST007"/>
    <s v="Lisa Davis"/>
    <x v="4"/>
    <x v="2"/>
    <n v="11"/>
    <n v="0"/>
    <x v="109"/>
    <x v="9"/>
    <n v="953.3"/>
    <n v="476.65"/>
    <d v="2026-03-13T10:47:08"/>
  </r>
  <r>
    <s v="CUST021"/>
    <s v="Sarah Anderson"/>
    <x v="4"/>
    <x v="3"/>
    <n v="10"/>
    <n v="0.1"/>
    <x v="100"/>
    <x v="9"/>
    <n v="967.89"/>
    <n v="217.78"/>
    <d v="2026-03-13T10:47:08"/>
  </r>
  <r>
    <s v="CUST028"/>
    <s v="Linda Taylor"/>
    <x v="3"/>
    <x v="4"/>
    <n v="19"/>
    <n v="0.1"/>
    <x v="105"/>
    <x v="9"/>
    <n v="983.34"/>
    <n v="398.25"/>
    <d v="2026-03-13T10:47:08"/>
  </r>
  <r>
    <s v="CUST022"/>
    <s v="David Davis"/>
    <x v="0"/>
    <x v="0"/>
    <n v="18"/>
    <n v="0.05"/>
    <x v="106"/>
    <x v="9"/>
    <n v="1023.21"/>
    <n v="388.82"/>
    <d v="2026-03-13T10:47:08"/>
  </r>
  <r>
    <s v="CUST010"/>
    <s v="Linda Brown"/>
    <x v="4"/>
    <x v="3"/>
    <n v="18"/>
    <n v="0"/>
    <x v="107"/>
    <x v="9"/>
    <n v="1173.1199999999999"/>
    <n v="293.27999999999997"/>
    <d v="2026-03-13T10:47:08"/>
  </r>
  <r>
    <s v="CUST015"/>
    <s v="Linda Taylor"/>
    <x v="1"/>
    <x v="4"/>
    <n v="14"/>
    <n v="0.05"/>
    <x v="100"/>
    <x v="9"/>
    <n v="1200.9000000000001"/>
    <n v="513.38"/>
    <d v="2026-03-13T10:47:08"/>
  </r>
  <r>
    <s v="CUST028"/>
    <s v="Lisa Davis"/>
    <x v="0"/>
    <x v="1"/>
    <n v="11"/>
    <n v="0.05"/>
    <x v="104"/>
    <x v="9"/>
    <n v="1410.06"/>
    <n v="468.84"/>
    <d v="2026-03-13T10:47:08"/>
  </r>
  <r>
    <s v="CUST025"/>
    <s v="David Brown"/>
    <x v="1"/>
    <x v="3"/>
    <n v="5"/>
    <n v="0.1"/>
    <x v="110"/>
    <x v="9"/>
    <n v="1450.71"/>
    <n v="326.41000000000003"/>
    <d v="2026-03-13T10:47:08"/>
  </r>
  <r>
    <s v="CUST027"/>
    <s v="James Wilson"/>
    <x v="2"/>
    <x v="3"/>
    <n v="19"/>
    <n v="0"/>
    <x v="111"/>
    <x v="10"/>
    <n v="258.51"/>
    <n v="64.63"/>
    <d v="2026-03-13T10:47:08"/>
  </r>
  <r>
    <s v="CUST024"/>
    <s v="James Wilson"/>
    <x v="1"/>
    <x v="3"/>
    <n v="1"/>
    <n v="0.15"/>
    <x v="112"/>
    <x v="10"/>
    <n v="706.73"/>
    <n v="150.18"/>
    <d v="2026-03-13T10:47:08"/>
  </r>
  <r>
    <s v="CUST019"/>
    <s v="James Taylor"/>
    <x v="4"/>
    <x v="3"/>
    <n v="14"/>
    <n v="0"/>
    <x v="112"/>
    <x v="10"/>
    <n v="718.04"/>
    <n v="179.51"/>
    <d v="2026-03-13T10:47:08"/>
  </r>
  <r>
    <s v="CUST007"/>
    <s v="Emma Davis"/>
    <x v="1"/>
    <x v="4"/>
    <n v="3"/>
    <n v="0.05"/>
    <x v="113"/>
    <x v="10"/>
    <n v="833.91"/>
    <n v="356.5"/>
    <d v="2026-03-13T10:47:08"/>
  </r>
  <r>
    <s v="CUST014"/>
    <s v="David Anderson"/>
    <x v="4"/>
    <x v="1"/>
    <n v="8"/>
    <n v="0.1"/>
    <x v="114"/>
    <x v="10"/>
    <n v="853.86"/>
    <n v="268.97000000000003"/>
    <d v="2026-03-13T10:47:08"/>
  </r>
  <r>
    <s v="CUST001"/>
    <s v="Sarah Anderson"/>
    <x v="2"/>
    <x v="3"/>
    <n v="19"/>
    <n v="0.2"/>
    <x v="115"/>
    <x v="10"/>
    <n v="894.55"/>
    <n v="178.91"/>
    <d v="2026-03-13T10:47:08"/>
  </r>
  <r>
    <s v="CUST029"/>
    <s v="Lisa Thomas"/>
    <x v="3"/>
    <x v="3"/>
    <n v="4"/>
    <n v="0.15"/>
    <x v="116"/>
    <x v="10"/>
    <n v="919.18"/>
    <n v="195.33"/>
    <d v="2026-03-13T10:47:08"/>
  </r>
  <r>
    <s v="CUST026"/>
    <s v="Mary Wilson"/>
    <x v="1"/>
    <x v="1"/>
    <n v="4"/>
    <n v="0.05"/>
    <x v="117"/>
    <x v="10"/>
    <n v="957.29"/>
    <n v="318.3"/>
    <d v="2026-03-13T10:47:08"/>
  </r>
  <r>
    <s v="CUST025"/>
    <s v="Lisa Davis"/>
    <x v="3"/>
    <x v="0"/>
    <n v="2"/>
    <n v="0.15"/>
    <x v="117"/>
    <x v="10"/>
    <n v="1010.58"/>
    <n v="343.6"/>
    <d v="2026-03-13T10:47:08"/>
  </r>
  <r>
    <s v="CUST008"/>
    <s v="James Wilson"/>
    <x v="3"/>
    <x v="4"/>
    <n v="14"/>
    <n v="0.05"/>
    <x v="118"/>
    <x v="10"/>
    <n v="1014.22"/>
    <n v="433.58"/>
    <d v="2026-03-13T10:47:08"/>
  </r>
  <r>
    <s v="CUST025"/>
    <s v="Lisa Thomas"/>
    <x v="3"/>
    <x v="4"/>
    <n v="10"/>
    <n v="0.1"/>
    <x v="119"/>
    <x v="10"/>
    <n v="1014.56"/>
    <n v="410.9"/>
    <d v="2026-03-13T10:47:08"/>
  </r>
  <r>
    <s v="CUST018"/>
    <s v="Lisa Thomas"/>
    <x v="4"/>
    <x v="3"/>
    <n v="1"/>
    <n v="0"/>
    <x v="120"/>
    <x v="10"/>
    <n v="1061.04"/>
    <n v="265.26"/>
    <d v="2026-03-13T10:47:08"/>
  </r>
  <r>
    <s v="CUST001"/>
    <s v="Lisa Thomas"/>
    <x v="1"/>
    <x v="1"/>
    <n v="3"/>
    <n v="0.05"/>
    <x v="121"/>
    <x v="10"/>
    <n v="1077.92"/>
    <n v="358.41"/>
    <d v="2026-03-13T10:47:08"/>
  </r>
  <r>
    <s v="CUST021"/>
    <s v="Emma Davis"/>
    <x v="0"/>
    <x v="0"/>
    <n v="8"/>
    <n v="0.05"/>
    <x v="114"/>
    <x v="10"/>
    <n v="1150.28"/>
    <n v="437.11"/>
    <d v="2026-03-13T10:47:08"/>
  </r>
  <r>
    <s v="CUST028"/>
    <s v="Linda Brown"/>
    <x v="4"/>
    <x v="2"/>
    <n v="5"/>
    <n v="0"/>
    <x v="122"/>
    <x v="10"/>
    <n v="1163.01"/>
    <n v="581.5"/>
    <d v="2026-03-13T10:47:08"/>
  </r>
  <r>
    <s v="CUST011"/>
    <s v="Emma Wilson"/>
    <x v="3"/>
    <x v="0"/>
    <n v="5"/>
    <n v="0.05"/>
    <x v="111"/>
    <x v="10"/>
    <n v="1213.48"/>
    <n v="461.12"/>
    <d v="2026-03-13T10:47:08"/>
  </r>
  <r>
    <s v="CUST013"/>
    <s v="Linda Wilson"/>
    <x v="0"/>
    <x v="0"/>
    <n v="4"/>
    <n v="0.05"/>
    <x v="123"/>
    <x v="10"/>
    <n v="1249.0999999999999"/>
    <n v="474.66"/>
    <d v="2026-03-13T10:47:08"/>
  </r>
  <r>
    <s v="CUST004"/>
    <s v="James Taylor"/>
    <x v="0"/>
    <x v="2"/>
    <n v="18"/>
    <n v="0.2"/>
    <x v="112"/>
    <x v="10"/>
    <n v="1277.8499999999999"/>
    <n v="511.14"/>
    <d v="2026-03-13T10:47:08"/>
  </r>
  <r>
    <s v="CUST009"/>
    <s v="Emma Wilson"/>
    <x v="4"/>
    <x v="1"/>
    <n v="10"/>
    <n v="0"/>
    <x v="116"/>
    <x v="10"/>
    <n v="1350.33"/>
    <n v="472.62"/>
    <d v="2026-03-13T10:47:08"/>
  </r>
  <r>
    <s v="CUST002"/>
    <s v="Linda Brown"/>
    <x v="3"/>
    <x v="3"/>
    <n v="15"/>
    <n v="0"/>
    <x v="116"/>
    <x v="10"/>
    <n v="1410.59"/>
    <n v="352.65"/>
    <d v="2026-03-13T10:47:08"/>
  </r>
  <r>
    <s v="CUST003"/>
    <s v="Linda Moore"/>
    <x v="1"/>
    <x v="2"/>
    <n v="1"/>
    <n v="0.2"/>
    <x v="124"/>
    <x v="11"/>
    <n v="661.09"/>
    <n v="264.44"/>
    <d v="2026-03-13T10:47:08"/>
  </r>
  <r>
    <s v="CUST012"/>
    <s v="David Brown"/>
    <x v="2"/>
    <x v="3"/>
    <n v="15"/>
    <n v="0"/>
    <x v="125"/>
    <x v="11"/>
    <n v="688.83"/>
    <n v="172.21"/>
    <d v="2026-03-13T10:47:08"/>
  </r>
  <r>
    <s v="CUST027"/>
    <s v="James Wilson"/>
    <x v="2"/>
    <x v="2"/>
    <n v="17"/>
    <n v="0.1"/>
    <x v="126"/>
    <x v="11"/>
    <n v="697.57"/>
    <n v="313.91000000000003"/>
    <d v="2026-03-13T10:47:08"/>
  </r>
  <r>
    <s v="CUST025"/>
    <s v="Emma Taylor"/>
    <x v="0"/>
    <x v="2"/>
    <n v="14"/>
    <n v="0.1"/>
    <x v="127"/>
    <x v="11"/>
    <n v="728.71"/>
    <n v="327.92"/>
    <d v="2026-03-13T10:47:08"/>
  </r>
  <r>
    <s v="CUST009"/>
    <s v="Emma Davis"/>
    <x v="4"/>
    <x v="3"/>
    <n v="1"/>
    <n v="0"/>
    <x v="128"/>
    <x v="11"/>
    <n v="771.02"/>
    <n v="192.76"/>
    <d v="2026-03-13T10:47:08"/>
  </r>
  <r>
    <s v="CUST012"/>
    <s v="Lisa Davis"/>
    <x v="1"/>
    <x v="3"/>
    <n v="17"/>
    <n v="0"/>
    <x v="129"/>
    <x v="11"/>
    <n v="925.29"/>
    <n v="231.32"/>
    <d v="2026-03-13T10:47:08"/>
  </r>
  <r>
    <s v="CUST014"/>
    <s v="Sarah Davis"/>
    <x v="4"/>
    <x v="0"/>
    <n v="8"/>
    <n v="0.2"/>
    <x v="130"/>
    <x v="11"/>
    <n v="961.62"/>
    <n v="307.72000000000003"/>
    <d v="2026-03-13T10:47:08"/>
  </r>
  <r>
    <s v="CUST024"/>
    <s v="Emma Taylor"/>
    <x v="3"/>
    <x v="0"/>
    <n v="16"/>
    <n v="0.1"/>
    <x v="131"/>
    <x v="11"/>
    <n v="980.18"/>
    <n v="352.86"/>
    <d v="2026-03-13T10:47:08"/>
  </r>
  <r>
    <s v="CUST008"/>
    <s v="David Davis"/>
    <x v="0"/>
    <x v="3"/>
    <n v="13"/>
    <n v="0.2"/>
    <x v="132"/>
    <x v="11"/>
    <n v="1014.09"/>
    <n v="202.82"/>
    <d v="2026-03-13T10:47:08"/>
  </r>
  <r>
    <s v="CUST008"/>
    <s v="James Wilson"/>
    <x v="3"/>
    <x v="0"/>
    <n v="19"/>
    <n v="0.15"/>
    <x v="130"/>
    <x v="11"/>
    <n v="1081.1400000000001"/>
    <n v="367.59"/>
    <d v="2026-03-13T10:47:08"/>
  </r>
  <r>
    <s v="CUST006"/>
    <s v="David Anderson"/>
    <x v="2"/>
    <x v="1"/>
    <n v="1"/>
    <n v="0.15"/>
    <x v="126"/>
    <x v="11"/>
    <n v="1193.6099999999999"/>
    <n v="355.1"/>
    <d v="2026-03-13T10:47:08"/>
  </r>
  <r>
    <s v="CUST025"/>
    <s v="Mary Jackson"/>
    <x v="3"/>
    <x v="1"/>
    <n v="8"/>
    <n v="0"/>
    <x v="133"/>
    <x v="11"/>
    <n v="1286.54"/>
    <n v="450.29"/>
    <d v="2026-03-13T10:47:08"/>
  </r>
  <r>
    <s v="CUST019"/>
    <s v="Linda Jackson"/>
    <x v="0"/>
    <x v="2"/>
    <n v="7"/>
    <n v="0.15"/>
    <x v="127"/>
    <x v="11"/>
    <n v="1301.8900000000001"/>
    <n v="553.29999999999995"/>
    <d v="2026-03-13T10:47:08"/>
  </r>
  <r>
    <s v="CUST015"/>
    <s v="James Wilson"/>
    <x v="2"/>
    <x v="2"/>
    <n v="9"/>
    <n v="0.2"/>
    <x v="134"/>
    <x v="11"/>
    <n v="1923.66"/>
    <n v="769.46"/>
    <d v="2026-03-13T10:47:08"/>
  </r>
  <r>
    <s v="CUST027"/>
    <s v="Emma Davis"/>
    <x v="1"/>
    <x v="0"/>
    <n v="17"/>
    <n v="0.1"/>
    <x v="135"/>
    <x v="12"/>
    <n v="585.97"/>
    <n v="210.95"/>
    <d v="2026-03-13T10:47:08"/>
  </r>
  <r>
    <s v="CUST013"/>
    <s v="Robert Anderson"/>
    <x v="4"/>
    <x v="1"/>
    <n v="1"/>
    <n v="0.1"/>
    <x v="136"/>
    <x v="12"/>
    <n v="727.73"/>
    <n v="229.23"/>
    <d v="2026-03-13T10:47:08"/>
  </r>
  <r>
    <s v="CUST028"/>
    <s v="Linda Brown"/>
    <x v="0"/>
    <x v="3"/>
    <n v="7"/>
    <n v="0.1"/>
    <x v="137"/>
    <x v="12"/>
    <n v="790.08"/>
    <n v="177.77"/>
    <d v="2026-03-13T10:47:08"/>
  </r>
  <r>
    <s v="CUST017"/>
    <s v="Sarah Davis"/>
    <x v="2"/>
    <x v="4"/>
    <n v="10"/>
    <n v="0.2"/>
    <x v="138"/>
    <x v="12"/>
    <n v="826.93"/>
    <n v="297.69"/>
    <d v="2026-03-13T10:47:08"/>
  </r>
  <r>
    <s v="CUST023"/>
    <s v="David Brown"/>
    <x v="3"/>
    <x v="1"/>
    <n v="9"/>
    <n v="0"/>
    <x v="139"/>
    <x v="12"/>
    <n v="873.7"/>
    <n v="305.8"/>
    <d v="2026-03-13T10:47:08"/>
  </r>
  <r>
    <s v="CUST027"/>
    <s v="Emma Davis"/>
    <x v="3"/>
    <x v="4"/>
    <n v="13"/>
    <n v="0.15"/>
    <x v="136"/>
    <x v="12"/>
    <n v="875.41"/>
    <n v="334.84"/>
    <d v="2026-03-13T10:47:08"/>
  </r>
  <r>
    <s v="CUST003"/>
    <s v="James Wilson"/>
    <x v="0"/>
    <x v="2"/>
    <n v="12"/>
    <n v="0"/>
    <x v="138"/>
    <x v="12"/>
    <n v="902.19"/>
    <n v="451.1"/>
    <d v="2026-03-13T10:47:08"/>
  </r>
  <r>
    <s v="CUST020"/>
    <s v="James Taylor"/>
    <x v="4"/>
    <x v="0"/>
    <n v="6"/>
    <n v="0"/>
    <x v="140"/>
    <x v="12"/>
    <n v="917.48"/>
    <n v="366.99"/>
    <d v="2026-03-13T10:47:08"/>
  </r>
  <r>
    <s v="CUST018"/>
    <s v="Mary Jackson"/>
    <x v="4"/>
    <x v="0"/>
    <n v="2"/>
    <n v="0.15"/>
    <x v="141"/>
    <x v="12"/>
    <n v="966.3"/>
    <n v="328.54"/>
    <d v="2026-03-13T10:47:08"/>
  </r>
  <r>
    <s v="CUST016"/>
    <s v="Michael Anderson"/>
    <x v="1"/>
    <x v="2"/>
    <n v="8"/>
    <n v="0.1"/>
    <x v="135"/>
    <x v="12"/>
    <n v="990.19"/>
    <n v="445.59"/>
    <d v="2026-03-13T10:47:08"/>
  </r>
  <r>
    <s v="CUST005"/>
    <s v="Lisa Davis"/>
    <x v="0"/>
    <x v="0"/>
    <n v="7"/>
    <n v="0.05"/>
    <x v="137"/>
    <x v="12"/>
    <n v="1070.68"/>
    <n v="406.86"/>
    <d v="2026-03-13T10:47:08"/>
  </r>
  <r>
    <s v="CUST007"/>
    <s v="Emma Taylor"/>
    <x v="2"/>
    <x v="1"/>
    <n v="4"/>
    <n v="0.1"/>
    <x v="142"/>
    <x v="12"/>
    <n v="1101.55"/>
    <n v="346.99"/>
    <d v="2026-03-13T10:47:08"/>
  </r>
  <r>
    <s v="CUST023"/>
    <s v="James Wilson"/>
    <x v="3"/>
    <x v="4"/>
    <n v="11"/>
    <n v="0.15"/>
    <x v="143"/>
    <x v="12"/>
    <n v="1154.33"/>
    <n v="441.53"/>
    <d v="2026-03-13T10:47:08"/>
  </r>
  <r>
    <s v="CUST003"/>
    <s v="James Wilson"/>
    <x v="2"/>
    <x v="3"/>
    <n v="19"/>
    <n v="0.2"/>
    <x v="144"/>
    <x v="12"/>
    <n v="1158.94"/>
    <n v="231.79"/>
    <d v="2026-03-13T10:47:08"/>
  </r>
  <r>
    <s v="CUST015"/>
    <s v="David Thomas"/>
    <x v="2"/>
    <x v="2"/>
    <n v="4"/>
    <n v="0.1"/>
    <x v="145"/>
    <x v="12"/>
    <n v="1168.8900000000001"/>
    <n v="526"/>
    <d v="2026-03-13T10:47:08"/>
  </r>
  <r>
    <s v="CUST029"/>
    <s v="Emma Wilson"/>
    <x v="2"/>
    <x v="1"/>
    <n v="7"/>
    <n v="0.15"/>
    <x v="146"/>
    <x v="12"/>
    <n v="1172.97"/>
    <n v="348.96"/>
    <d v="2026-03-13T10:47:08"/>
  </r>
  <r>
    <s v="CUST021"/>
    <s v="James Wilson"/>
    <x v="1"/>
    <x v="2"/>
    <n v="11"/>
    <n v="0.1"/>
    <x v="146"/>
    <x v="12"/>
    <n v="1205.82"/>
    <n v="542.62"/>
    <d v="2026-03-13T10:47:08"/>
  </r>
  <r>
    <s v="CUST022"/>
    <s v="Linda Brown"/>
    <x v="4"/>
    <x v="0"/>
    <n v="16"/>
    <n v="0.05"/>
    <x v="143"/>
    <x v="12"/>
    <n v="1264.49"/>
    <n v="480.51"/>
    <d v="2026-03-13T10:47:08"/>
  </r>
  <r>
    <s v="CUST003"/>
    <s v="James Davis"/>
    <x v="4"/>
    <x v="3"/>
    <n v="17"/>
    <n v="0"/>
    <x v="145"/>
    <x v="12"/>
    <n v="1335.87"/>
    <n v="333.97"/>
    <d v="2026-03-13T10:47:08"/>
  </r>
  <r>
    <s v="CUST004"/>
    <s v="Sarah Davis"/>
    <x v="2"/>
    <x v="4"/>
    <n v="19"/>
    <n v="0"/>
    <x v="147"/>
    <x v="12"/>
    <n v="1443.98"/>
    <n v="649.79"/>
    <d v="2026-03-13T10:47: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737C5-91CE-4EEC-971C-A64D9D58928A}" name="Product wise Profi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Products">
  <location ref="G13:H19" firstHeaderRow="1" firstDataRow="1" firstDataCol="1"/>
  <pivotFields count="14">
    <pivotField showAll="0"/>
    <pivotField showAll="0"/>
    <pivotField showAll="0">
      <items count="6">
        <item x="0"/>
        <item x="3"/>
        <item x="1"/>
        <item x="4"/>
        <item x="2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numFmtId="14" showAll="0">
      <items count="149">
        <item x="7"/>
        <item x="8"/>
        <item x="3"/>
        <item x="5"/>
        <item x="6"/>
        <item x="0"/>
        <item x="12"/>
        <item x="9"/>
        <item x="4"/>
        <item x="1"/>
        <item x="10"/>
        <item x="2"/>
        <item x="11"/>
        <item x="102"/>
        <item x="109"/>
        <item x="99"/>
        <item x="107"/>
        <item x="103"/>
        <item x="108"/>
        <item x="105"/>
        <item x="110"/>
        <item x="106"/>
        <item x="100"/>
        <item x="104"/>
        <item x="101"/>
        <item x="79"/>
        <item x="68"/>
        <item x="72"/>
        <item x="73"/>
        <item x="76"/>
        <item x="80"/>
        <item x="70"/>
        <item x="77"/>
        <item x="81"/>
        <item x="78"/>
        <item x="74"/>
        <item x="71"/>
        <item x="75"/>
        <item x="69"/>
        <item x="82"/>
        <item x="67"/>
        <item x="58"/>
        <item x="62"/>
        <item x="66"/>
        <item x="65"/>
        <item x="61"/>
        <item x="64"/>
        <item x="60"/>
        <item x="59"/>
        <item x="63"/>
        <item x="17"/>
        <item x="23"/>
        <item x="20"/>
        <item x="21"/>
        <item x="16"/>
        <item x="19"/>
        <item x="22"/>
        <item x="18"/>
        <item x="137"/>
        <item x="145"/>
        <item x="139"/>
        <item x="147"/>
        <item x="143"/>
        <item x="142"/>
        <item x="136"/>
        <item x="144"/>
        <item x="141"/>
        <item x="140"/>
        <item x="146"/>
        <item x="138"/>
        <item x="135"/>
        <item x="132"/>
        <item x="129"/>
        <item x="133"/>
        <item x="130"/>
        <item x="134"/>
        <item x="127"/>
        <item x="131"/>
        <item x="126"/>
        <item x="128"/>
        <item x="124"/>
        <item x="125"/>
        <item x="123"/>
        <item x="118"/>
        <item x="117"/>
        <item x="121"/>
        <item x="122"/>
        <item x="119"/>
        <item x="112"/>
        <item x="116"/>
        <item x="111"/>
        <item x="114"/>
        <item x="120"/>
        <item x="115"/>
        <item x="113"/>
        <item x="28"/>
        <item x="26"/>
        <item x="27"/>
        <item x="32"/>
        <item x="30"/>
        <item x="29"/>
        <item x="25"/>
        <item x="24"/>
        <item x="31"/>
        <item x="46"/>
        <item x="52"/>
        <item x="50"/>
        <item x="51"/>
        <item x="55"/>
        <item x="53"/>
        <item x="57"/>
        <item x="47"/>
        <item x="54"/>
        <item x="56"/>
        <item x="49"/>
        <item x="48"/>
        <item x="42"/>
        <item x="41"/>
        <item x="37"/>
        <item x="35"/>
        <item x="45"/>
        <item x="33"/>
        <item x="43"/>
        <item x="38"/>
        <item x="40"/>
        <item x="44"/>
        <item x="34"/>
        <item x="39"/>
        <item x="36"/>
        <item x="93"/>
        <item x="96"/>
        <item x="88"/>
        <item x="85"/>
        <item x="94"/>
        <item x="83"/>
        <item x="90"/>
        <item x="92"/>
        <item x="98"/>
        <item x="87"/>
        <item x="86"/>
        <item x="84"/>
        <item x="97"/>
        <item x="89"/>
        <item x="95"/>
        <item x="91"/>
        <item x="14"/>
        <item x="13"/>
        <item x="15"/>
        <item t="default"/>
      </items>
    </pivotField>
    <pivotField showAll="0"/>
    <pivotField showAll="0"/>
    <pivotField dataField="1"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9" baseField="0" baseItem="0"/>
  </dataFields>
  <chartFormats count="6"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B4CDD-E788-45E1-B390-0E8D6BF463E8}" name="Monthly 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Months ">
  <location ref="D13:E26" firstHeaderRow="1" firstDataRow="1" firstDataCol="1"/>
  <pivotFields count="14">
    <pivotField showAll="0"/>
    <pivotField showAll="0"/>
    <pivotField showAll="0">
      <items count="6">
        <item x="0"/>
        <item x="3"/>
        <item x="1"/>
        <item x="4"/>
        <item x="2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axis="axisRow" numFmtId="14" showAll="0">
      <items count="149">
        <item x="7"/>
        <item x="8"/>
        <item x="3"/>
        <item x="5"/>
        <item x="6"/>
        <item x="0"/>
        <item x="12"/>
        <item x="9"/>
        <item x="4"/>
        <item x="1"/>
        <item x="10"/>
        <item x="2"/>
        <item x="11"/>
        <item x="102"/>
        <item x="109"/>
        <item x="99"/>
        <item x="107"/>
        <item x="103"/>
        <item x="108"/>
        <item x="105"/>
        <item x="110"/>
        <item x="106"/>
        <item x="100"/>
        <item x="104"/>
        <item x="101"/>
        <item x="79"/>
        <item x="68"/>
        <item x="72"/>
        <item x="73"/>
        <item x="76"/>
        <item x="80"/>
        <item x="70"/>
        <item x="77"/>
        <item x="81"/>
        <item x="78"/>
        <item x="74"/>
        <item x="71"/>
        <item x="75"/>
        <item x="69"/>
        <item x="82"/>
        <item x="67"/>
        <item x="58"/>
        <item x="62"/>
        <item x="66"/>
        <item x="65"/>
        <item x="61"/>
        <item x="64"/>
        <item x="60"/>
        <item x="59"/>
        <item x="63"/>
        <item x="17"/>
        <item x="23"/>
        <item x="20"/>
        <item x="21"/>
        <item x="16"/>
        <item x="19"/>
        <item x="22"/>
        <item x="18"/>
        <item x="137"/>
        <item x="145"/>
        <item x="139"/>
        <item x="147"/>
        <item x="143"/>
        <item x="142"/>
        <item x="136"/>
        <item x="144"/>
        <item x="141"/>
        <item x="140"/>
        <item x="146"/>
        <item x="138"/>
        <item x="135"/>
        <item x="132"/>
        <item x="129"/>
        <item x="133"/>
        <item x="130"/>
        <item x="134"/>
        <item x="127"/>
        <item x="131"/>
        <item x="126"/>
        <item x="128"/>
        <item x="124"/>
        <item x="125"/>
        <item x="123"/>
        <item x="118"/>
        <item x="117"/>
        <item x="121"/>
        <item x="122"/>
        <item x="119"/>
        <item x="112"/>
        <item x="116"/>
        <item x="111"/>
        <item x="114"/>
        <item x="120"/>
        <item x="115"/>
        <item x="113"/>
        <item x="28"/>
        <item x="26"/>
        <item x="27"/>
        <item x="32"/>
        <item x="30"/>
        <item x="29"/>
        <item x="25"/>
        <item x="24"/>
        <item x="31"/>
        <item x="46"/>
        <item x="52"/>
        <item x="50"/>
        <item x="51"/>
        <item x="55"/>
        <item x="53"/>
        <item x="57"/>
        <item x="47"/>
        <item x="54"/>
        <item x="56"/>
        <item x="49"/>
        <item x="48"/>
        <item x="42"/>
        <item x="41"/>
        <item x="37"/>
        <item x="35"/>
        <item x="45"/>
        <item x="33"/>
        <item x="43"/>
        <item x="38"/>
        <item x="40"/>
        <item x="44"/>
        <item x="34"/>
        <item x="39"/>
        <item x="36"/>
        <item x="93"/>
        <item x="96"/>
        <item x="88"/>
        <item x="85"/>
        <item x="94"/>
        <item x="83"/>
        <item x="90"/>
        <item x="92"/>
        <item x="98"/>
        <item x="87"/>
        <item x="86"/>
        <item x="84"/>
        <item x="97"/>
        <item x="89"/>
        <item x="95"/>
        <item x="91"/>
        <item x="14"/>
        <item x="13"/>
        <item x="1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numFmtId="2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1"/>
    <field x="13"/>
    <field x="12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9A32B-B2CE-440A-B240-1A2DE20C0447}" name="region wise 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A13:B19" firstHeaderRow="1" firstDataRow="1" firstDataCol="1"/>
  <pivotFields count="14"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numFmtId="14" showAll="0">
      <items count="149">
        <item x="7"/>
        <item x="8"/>
        <item x="3"/>
        <item x="5"/>
        <item x="6"/>
        <item x="0"/>
        <item x="12"/>
        <item x="9"/>
        <item x="4"/>
        <item x="1"/>
        <item x="10"/>
        <item x="2"/>
        <item x="11"/>
        <item x="102"/>
        <item x="109"/>
        <item x="99"/>
        <item x="107"/>
        <item x="103"/>
        <item x="108"/>
        <item x="105"/>
        <item x="110"/>
        <item x="106"/>
        <item x="100"/>
        <item x="104"/>
        <item x="101"/>
        <item x="79"/>
        <item x="68"/>
        <item x="72"/>
        <item x="73"/>
        <item x="76"/>
        <item x="80"/>
        <item x="70"/>
        <item x="77"/>
        <item x="81"/>
        <item x="78"/>
        <item x="74"/>
        <item x="71"/>
        <item x="75"/>
        <item x="69"/>
        <item x="82"/>
        <item x="67"/>
        <item x="58"/>
        <item x="62"/>
        <item x="66"/>
        <item x="65"/>
        <item x="61"/>
        <item x="64"/>
        <item x="60"/>
        <item x="59"/>
        <item x="63"/>
        <item x="17"/>
        <item x="23"/>
        <item x="20"/>
        <item x="21"/>
        <item x="16"/>
        <item x="19"/>
        <item x="22"/>
        <item x="18"/>
        <item x="137"/>
        <item x="145"/>
        <item x="139"/>
        <item x="147"/>
        <item x="143"/>
        <item x="142"/>
        <item x="136"/>
        <item x="144"/>
        <item x="141"/>
        <item x="140"/>
        <item x="146"/>
        <item x="138"/>
        <item x="135"/>
        <item x="132"/>
        <item x="129"/>
        <item x="133"/>
        <item x="130"/>
        <item x="134"/>
        <item x="127"/>
        <item x="131"/>
        <item x="126"/>
        <item x="128"/>
        <item x="124"/>
        <item x="125"/>
        <item x="123"/>
        <item x="118"/>
        <item x="117"/>
        <item x="121"/>
        <item x="122"/>
        <item x="119"/>
        <item x="112"/>
        <item x="116"/>
        <item x="111"/>
        <item x="114"/>
        <item x="120"/>
        <item x="115"/>
        <item x="113"/>
        <item x="28"/>
        <item x="26"/>
        <item x="27"/>
        <item x="32"/>
        <item x="30"/>
        <item x="29"/>
        <item x="25"/>
        <item x="24"/>
        <item x="31"/>
        <item x="46"/>
        <item x="52"/>
        <item x="50"/>
        <item x="51"/>
        <item x="55"/>
        <item x="53"/>
        <item x="57"/>
        <item x="47"/>
        <item x="54"/>
        <item x="56"/>
        <item x="49"/>
        <item x="48"/>
        <item x="42"/>
        <item x="41"/>
        <item x="37"/>
        <item x="35"/>
        <item x="45"/>
        <item x="33"/>
        <item x="43"/>
        <item x="38"/>
        <item x="40"/>
        <item x="44"/>
        <item x="34"/>
        <item x="39"/>
        <item x="36"/>
        <item x="93"/>
        <item x="96"/>
        <item x="88"/>
        <item x="85"/>
        <item x="94"/>
        <item x="83"/>
        <item x="90"/>
        <item x="92"/>
        <item x="98"/>
        <item x="87"/>
        <item x="86"/>
        <item x="84"/>
        <item x="97"/>
        <item x="89"/>
        <item x="95"/>
        <item x="91"/>
        <item x="14"/>
        <item x="13"/>
        <item x="15"/>
        <item t="default"/>
      </items>
    </pivotField>
    <pivotField showAll="0"/>
    <pivotField dataField="1" showAll="0"/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68170-CDFD-43D5-B452-AA298BD103AF}" name="Region and product wise total 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G10" firstHeaderRow="1" firstDataRow="2" firstDataCol="1"/>
  <pivotFields count="14"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numFmtId="14" showAll="0">
      <items count="149">
        <item x="7"/>
        <item x="8"/>
        <item x="3"/>
        <item x="5"/>
        <item x="6"/>
        <item x="0"/>
        <item x="12"/>
        <item x="9"/>
        <item x="4"/>
        <item x="1"/>
        <item x="10"/>
        <item x="2"/>
        <item x="11"/>
        <item x="102"/>
        <item x="109"/>
        <item x="99"/>
        <item x="107"/>
        <item x="103"/>
        <item x="108"/>
        <item x="105"/>
        <item x="110"/>
        <item x="106"/>
        <item x="100"/>
        <item x="104"/>
        <item x="101"/>
        <item x="79"/>
        <item x="68"/>
        <item x="72"/>
        <item x="73"/>
        <item x="76"/>
        <item x="80"/>
        <item x="70"/>
        <item x="77"/>
        <item x="81"/>
        <item x="78"/>
        <item x="74"/>
        <item x="71"/>
        <item x="75"/>
        <item x="69"/>
        <item x="82"/>
        <item x="67"/>
        <item x="58"/>
        <item x="62"/>
        <item x="66"/>
        <item x="65"/>
        <item x="61"/>
        <item x="64"/>
        <item x="60"/>
        <item x="59"/>
        <item x="63"/>
        <item x="17"/>
        <item x="23"/>
        <item x="20"/>
        <item x="21"/>
        <item x="16"/>
        <item x="19"/>
        <item x="22"/>
        <item x="18"/>
        <item x="137"/>
        <item x="145"/>
        <item x="139"/>
        <item x="147"/>
        <item x="143"/>
        <item x="142"/>
        <item x="136"/>
        <item x="144"/>
        <item x="141"/>
        <item x="140"/>
        <item x="146"/>
        <item x="138"/>
        <item x="135"/>
        <item x="132"/>
        <item x="129"/>
        <item x="133"/>
        <item x="130"/>
        <item x="134"/>
        <item x="127"/>
        <item x="131"/>
        <item x="126"/>
        <item x="128"/>
        <item x="124"/>
        <item x="125"/>
        <item x="123"/>
        <item x="118"/>
        <item x="117"/>
        <item x="121"/>
        <item x="122"/>
        <item x="119"/>
        <item x="112"/>
        <item x="116"/>
        <item x="111"/>
        <item x="114"/>
        <item x="120"/>
        <item x="115"/>
        <item x="113"/>
        <item x="28"/>
        <item x="26"/>
        <item x="27"/>
        <item x="32"/>
        <item x="30"/>
        <item x="29"/>
        <item x="25"/>
        <item x="24"/>
        <item x="31"/>
        <item x="46"/>
        <item x="52"/>
        <item x="50"/>
        <item x="51"/>
        <item x="55"/>
        <item x="53"/>
        <item x="57"/>
        <item x="47"/>
        <item x="54"/>
        <item x="56"/>
        <item x="49"/>
        <item x="48"/>
        <item x="42"/>
        <item x="41"/>
        <item x="37"/>
        <item x="35"/>
        <item x="45"/>
        <item x="33"/>
        <item x="43"/>
        <item x="38"/>
        <item x="40"/>
        <item x="44"/>
        <item x="34"/>
        <item x="39"/>
        <item x="36"/>
        <item x="93"/>
        <item x="96"/>
        <item x="88"/>
        <item x="85"/>
        <item x="94"/>
        <item x="83"/>
        <item x="90"/>
        <item x="92"/>
        <item x="98"/>
        <item x="87"/>
        <item x="86"/>
        <item x="84"/>
        <item x="97"/>
        <item x="89"/>
        <item x="95"/>
        <item x="91"/>
        <item x="14"/>
        <item x="13"/>
        <item x="15"/>
        <item t="default"/>
      </items>
    </pivotField>
    <pivotField showAll="0"/>
    <pivotField dataField="1" showAll="0"/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2F553-ED66-40F9-B9AC-CCE1851982BE}" name="Table1" displayName="Table1" ref="A1:L201" totalsRowShown="0" headerRowDxfId="3" dataDxfId="19" headerRowBorderDxfId="17" tableBorderDxfId="18" totalsRowBorderDxfId="16">
  <autoFilter ref="A1:L201" xr:uid="{9BE2F553-ED66-40F9-B9AC-CCE1851982BE}"/>
  <tableColumns count="12">
    <tableColumn id="1" xr3:uid="{D413C4B2-6E18-41AC-9321-EEEA607EBCED}" name="Customer_ID" dataDxfId="15"/>
    <tableColumn id="2" xr3:uid="{42C5FB0E-F5F7-4320-8FAD-E2F77EF80069}" name="Customer_Name" dataDxfId="14"/>
    <tableColumn id="3" xr3:uid="{2D7B1902-2234-4865-8173-D2B06078885A}" name="Region" dataDxfId="13"/>
    <tableColumn id="4" xr3:uid="{159BC67F-88BD-446C-8FDD-51B023C4B4C5}" name="Product_Category" dataDxfId="12"/>
    <tableColumn id="6" xr3:uid="{16CD4563-F5F4-49E2-8831-9E41C7B05A68}" name="Quantity" dataDxfId="11"/>
    <tableColumn id="7" xr3:uid="{A51A4D6A-BEDE-4782-A234-3997D31D9ECA}" name="Discount" dataDxfId="10"/>
    <tableColumn id="8" xr3:uid="{0571306F-227C-4CAB-B460-5AE0C3F53231}" name="Order_Date" dataDxfId="9"/>
    <tableColumn id="13" xr3:uid="{95E4EFB9-7FA4-42F8-AD31-AB5882EA8556}" name="Sales" dataDxfId="8"/>
    <tableColumn id="14" xr3:uid="{8CAA772C-DBEA-431E-8DC4-0FF9CA274750}" name="Profit" dataDxfId="7"/>
    <tableColumn id="15" xr3:uid="{804A1265-0F9E-4486-8AD2-BAE46082710E}" name="TimeStamp" dataDxfId="6">
      <calculatedColumnFormula>NOW()</calculatedColumnFormula>
    </tableColumn>
    <tableColumn id="5" xr3:uid="{DE10762A-9B3D-41CE-BAE2-77317C0261CF}" name="Cost" dataDxfId="5">
      <calculatedColumnFormula>H2-I2</calculatedColumnFormula>
    </tableColumn>
    <tableColumn id="9" xr3:uid="{F261E1A6-D97B-48B2-BEF7-6A480E121A33}" name="Net profit" dataDxfId="4">
      <calculatedColumnFormula>H2*(1-F2)-K2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1997-8973-42CA-BAB5-A904483C004C}">
  <dimension ref="A1:P201"/>
  <sheetViews>
    <sheetView workbookViewId="0">
      <selection activeCell="H3" sqref="H3"/>
    </sheetView>
  </sheetViews>
  <sheetFormatPr defaultRowHeight="14.4" x14ac:dyDescent="0.3"/>
  <cols>
    <col min="1" max="1" width="13.77734375" customWidth="1"/>
    <col min="2" max="2" width="17" customWidth="1"/>
    <col min="3" max="3" width="9" bestFit="1" customWidth="1"/>
    <col min="4" max="4" width="18.5546875" bestFit="1" customWidth="1"/>
    <col min="5" max="6" width="10.5546875" bestFit="1" customWidth="1"/>
    <col min="7" max="7" width="11.88671875" bestFit="1" customWidth="1"/>
    <col min="8" max="8" width="10.44140625" bestFit="1" customWidth="1"/>
    <col min="9" max="9" width="10.109375" bestFit="1" customWidth="1"/>
    <col min="10" max="10" width="15.44140625" bestFit="1" customWidth="1"/>
    <col min="11" max="11" width="9.109375" bestFit="1" customWidth="1"/>
    <col min="12" max="12" width="7.5546875" bestFit="1" customWidth="1"/>
    <col min="13" max="13" width="11.33203125" bestFit="1" customWidth="1"/>
    <col min="14" max="14" width="11.88671875" bestFit="1" customWidth="1"/>
    <col min="15" max="15" width="14" bestFit="1" customWidth="1"/>
    <col min="16" max="16" width="11.88671875" bestFit="1" customWidth="1"/>
    <col min="17" max="17" width="13.5546875" bestFit="1" customWidth="1"/>
  </cols>
  <sheetData>
    <row r="1" spans="1:16" ht="29.4" thickBot="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5</v>
      </c>
      <c r="F1" s="24" t="s">
        <v>6</v>
      </c>
      <c r="G1" s="24" t="s">
        <v>7</v>
      </c>
      <c r="H1" s="24" t="s">
        <v>4</v>
      </c>
      <c r="I1" s="24" t="s">
        <v>8</v>
      </c>
      <c r="J1" s="24" t="s">
        <v>113</v>
      </c>
      <c r="K1" s="24" t="s">
        <v>121</v>
      </c>
      <c r="L1" s="25" t="s">
        <v>122</v>
      </c>
    </row>
    <row r="2" spans="1:16" x14ac:dyDescent="0.3">
      <c r="A2" s="26" t="s">
        <v>32</v>
      </c>
      <c r="B2" s="27" t="s">
        <v>33</v>
      </c>
      <c r="C2" s="27" t="s">
        <v>34</v>
      </c>
      <c r="D2" s="27" t="s">
        <v>12</v>
      </c>
      <c r="E2" s="27">
        <v>11</v>
      </c>
      <c r="F2" s="27">
        <v>0.05</v>
      </c>
      <c r="G2" s="28">
        <v>45401</v>
      </c>
      <c r="H2" s="27">
        <v>501.54</v>
      </c>
      <c r="I2" s="27">
        <v>190.59</v>
      </c>
      <c r="J2" s="29">
        <f t="shared" ref="J2:J33" ca="1" si="0">NOW()</f>
        <v>46097.457814583337</v>
      </c>
      <c r="K2" s="27">
        <f t="shared" ref="K2:K33" si="1">H2-I2</f>
        <v>310.95000000000005</v>
      </c>
      <c r="L2" s="30">
        <f>H2*(1-F2)-K2</f>
        <v>165.51299999999998</v>
      </c>
      <c r="N2" s="4" t="s">
        <v>115</v>
      </c>
      <c r="O2" s="6"/>
    </row>
    <row r="3" spans="1:16" ht="15" thickBot="1" x14ac:dyDescent="0.35">
      <c r="A3" s="26" t="s">
        <v>41</v>
      </c>
      <c r="B3" s="27" t="s">
        <v>42</v>
      </c>
      <c r="C3" s="27" t="s">
        <v>24</v>
      </c>
      <c r="D3" s="27" t="s">
        <v>27</v>
      </c>
      <c r="E3" s="27">
        <v>15</v>
      </c>
      <c r="F3" s="27">
        <v>0.15</v>
      </c>
      <c r="G3" s="28">
        <v>45409</v>
      </c>
      <c r="H3" s="27">
        <v>521.66999999999996</v>
      </c>
      <c r="I3" s="27">
        <v>155.19999999999999</v>
      </c>
      <c r="J3" s="29">
        <f t="shared" ca="1" si="0"/>
        <v>46097.457814583337</v>
      </c>
      <c r="K3" s="27">
        <f t="shared" si="1"/>
        <v>366.46999999999997</v>
      </c>
      <c r="L3" s="30">
        <f>H3*(1-F3)-K3</f>
        <v>76.9495</v>
      </c>
      <c r="N3" s="12" t="s">
        <v>114</v>
      </c>
      <c r="O3" s="14" t="str">
        <f>INDEX(B2:B201,MATCH(MAX(Table1[Sales]),Table1[Sales],0))</f>
        <v>James Wilson</v>
      </c>
    </row>
    <row r="4" spans="1:16" ht="15" thickBot="1" x14ac:dyDescent="0.35">
      <c r="A4" s="26" t="s">
        <v>28</v>
      </c>
      <c r="B4" s="27" t="s">
        <v>45</v>
      </c>
      <c r="C4" s="27" t="s">
        <v>11</v>
      </c>
      <c r="D4" s="27" t="s">
        <v>12</v>
      </c>
      <c r="E4" s="27">
        <v>4</v>
      </c>
      <c r="F4" s="27">
        <v>0.2</v>
      </c>
      <c r="G4" s="28">
        <v>45411</v>
      </c>
      <c r="H4" s="27">
        <v>636.70000000000005</v>
      </c>
      <c r="I4" s="27">
        <v>203.74</v>
      </c>
      <c r="J4" s="29">
        <f t="shared" ca="1" si="0"/>
        <v>46097.457814583337</v>
      </c>
      <c r="K4" s="27">
        <f t="shared" si="1"/>
        <v>432.96000000000004</v>
      </c>
      <c r="L4" s="30">
        <f>H4*(1-F4)-K4</f>
        <v>76.400000000000034</v>
      </c>
    </row>
    <row r="5" spans="1:16" x14ac:dyDescent="0.3">
      <c r="A5" s="26" t="s">
        <v>16</v>
      </c>
      <c r="B5" s="27" t="s">
        <v>17</v>
      </c>
      <c r="C5" s="27" t="s">
        <v>18</v>
      </c>
      <c r="D5" s="27" t="s">
        <v>12</v>
      </c>
      <c r="E5" s="27">
        <v>17</v>
      </c>
      <c r="F5" s="27">
        <v>0</v>
      </c>
      <c r="G5" s="28">
        <v>45396</v>
      </c>
      <c r="H5" s="27">
        <v>713.34</v>
      </c>
      <c r="I5" s="27">
        <v>285.33999999999997</v>
      </c>
      <c r="J5" s="29">
        <f t="shared" ca="1" si="0"/>
        <v>46097.457814583337</v>
      </c>
      <c r="K5" s="27">
        <f t="shared" si="1"/>
        <v>428.00000000000006</v>
      </c>
      <c r="L5" s="30">
        <f>H5*(1-F5)-K5</f>
        <v>285.33999999999997</v>
      </c>
      <c r="N5" s="4" t="s">
        <v>116</v>
      </c>
      <c r="O5" s="6"/>
    </row>
    <row r="6" spans="1:16" ht="15" thickBot="1" x14ac:dyDescent="0.35">
      <c r="A6" s="26" t="s">
        <v>35</v>
      </c>
      <c r="B6" s="27" t="s">
        <v>36</v>
      </c>
      <c r="C6" s="27" t="s">
        <v>34</v>
      </c>
      <c r="D6" s="27" t="s">
        <v>15</v>
      </c>
      <c r="E6" s="27">
        <v>2</v>
      </c>
      <c r="F6" s="27">
        <v>0.05</v>
      </c>
      <c r="G6" s="28">
        <v>45401</v>
      </c>
      <c r="H6" s="27">
        <v>737.31</v>
      </c>
      <c r="I6" s="27">
        <v>350.22</v>
      </c>
      <c r="J6" s="29">
        <f t="shared" ca="1" si="0"/>
        <v>46097.457814583337</v>
      </c>
      <c r="K6" s="27">
        <f t="shared" si="1"/>
        <v>387.08999999999992</v>
      </c>
      <c r="L6" s="30">
        <f>H6*(1-F6)-K6</f>
        <v>313.35450000000003</v>
      </c>
      <c r="N6" s="12" t="s">
        <v>114</v>
      </c>
      <c r="O6" s="14" t="str" cm="1">
        <f t="array" ref="O6">_xlfn._xlws.FILTER(B2:B201,H2:H201&gt;1900,"No Hightest Value")</f>
        <v>James Wilson</v>
      </c>
    </row>
    <row r="7" spans="1:16" ht="15" thickBot="1" x14ac:dyDescent="0.35">
      <c r="A7" s="26" t="s">
        <v>19</v>
      </c>
      <c r="B7" s="27" t="s">
        <v>14</v>
      </c>
      <c r="C7" s="27" t="s">
        <v>20</v>
      </c>
      <c r="D7" s="27" t="s">
        <v>21</v>
      </c>
      <c r="E7" s="27">
        <v>4</v>
      </c>
      <c r="F7" s="27">
        <v>0.15</v>
      </c>
      <c r="G7" s="28">
        <v>45396</v>
      </c>
      <c r="H7" s="27">
        <v>760.93</v>
      </c>
      <c r="I7" s="27">
        <v>161.69999999999999</v>
      </c>
      <c r="J7" s="29">
        <f t="shared" ca="1" si="0"/>
        <v>46097.457814583337</v>
      </c>
      <c r="K7" s="27">
        <f t="shared" si="1"/>
        <v>599.23</v>
      </c>
      <c r="L7" s="30">
        <f>H7*(1-F7)-K7</f>
        <v>47.560499999999934</v>
      </c>
    </row>
    <row r="8" spans="1:16" ht="15" thickBot="1" x14ac:dyDescent="0.35">
      <c r="A8" s="26" t="s">
        <v>40</v>
      </c>
      <c r="B8" s="27" t="s">
        <v>14</v>
      </c>
      <c r="C8" s="27" t="s">
        <v>11</v>
      </c>
      <c r="D8" s="27" t="s">
        <v>27</v>
      </c>
      <c r="E8" s="27">
        <v>7</v>
      </c>
      <c r="F8" s="27">
        <v>0.05</v>
      </c>
      <c r="G8" s="28">
        <v>45406</v>
      </c>
      <c r="H8" s="27">
        <v>822.28</v>
      </c>
      <c r="I8" s="27">
        <v>273.41000000000003</v>
      </c>
      <c r="J8" s="29">
        <f t="shared" ca="1" si="0"/>
        <v>46097.457814583337</v>
      </c>
      <c r="K8" s="27">
        <f t="shared" si="1"/>
        <v>548.86999999999989</v>
      </c>
      <c r="L8" s="30">
        <f>H8*(1-F8)-K8</f>
        <v>232.29600000000005</v>
      </c>
      <c r="N8" s="20"/>
      <c r="O8" s="21" t="s">
        <v>139</v>
      </c>
      <c r="P8" s="22"/>
    </row>
    <row r="9" spans="1:16" x14ac:dyDescent="0.3">
      <c r="A9" s="26" t="s">
        <v>22</v>
      </c>
      <c r="B9" s="27" t="s">
        <v>23</v>
      </c>
      <c r="C9" s="27" t="s">
        <v>24</v>
      </c>
      <c r="D9" s="27" t="s">
        <v>12</v>
      </c>
      <c r="E9" s="27">
        <v>12</v>
      </c>
      <c r="F9" s="27">
        <v>0.2</v>
      </c>
      <c r="G9" s="28">
        <v>45397</v>
      </c>
      <c r="H9" s="27">
        <v>847</v>
      </c>
      <c r="I9" s="27">
        <v>271.04000000000002</v>
      </c>
      <c r="J9" s="29">
        <f t="shared" ca="1" si="0"/>
        <v>46097.457814583337</v>
      </c>
      <c r="K9" s="27">
        <f t="shared" si="1"/>
        <v>575.96</v>
      </c>
      <c r="L9" s="30">
        <f>H9*(1-F9)-K9</f>
        <v>101.63999999999999</v>
      </c>
      <c r="N9" s="4" t="s">
        <v>4</v>
      </c>
      <c r="O9" s="5" t="s">
        <v>6</v>
      </c>
      <c r="P9" s="6" t="s">
        <v>138</v>
      </c>
    </row>
    <row r="10" spans="1:16" x14ac:dyDescent="0.3">
      <c r="A10" s="26" t="s">
        <v>44</v>
      </c>
      <c r="B10" s="27" t="s">
        <v>14</v>
      </c>
      <c r="C10" s="27" t="s">
        <v>20</v>
      </c>
      <c r="D10" s="27" t="s">
        <v>12</v>
      </c>
      <c r="E10" s="27">
        <v>10</v>
      </c>
      <c r="F10" s="27">
        <v>0.15</v>
      </c>
      <c r="G10" s="28">
        <v>45411</v>
      </c>
      <c r="H10" s="27">
        <v>877.58</v>
      </c>
      <c r="I10" s="27">
        <v>298.38</v>
      </c>
      <c r="J10" s="29">
        <f t="shared" ca="1" si="0"/>
        <v>46097.457814583337</v>
      </c>
      <c r="K10" s="27">
        <f t="shared" si="1"/>
        <v>579.20000000000005</v>
      </c>
      <c r="L10" s="30">
        <f>H10*(1-F10)-K10</f>
        <v>166.74299999999994</v>
      </c>
      <c r="N10" s="7">
        <v>68287.009999999995</v>
      </c>
      <c r="O10" s="1">
        <v>5</v>
      </c>
      <c r="P10" s="8">
        <f>N10*O10</f>
        <v>341435.05</v>
      </c>
    </row>
    <row r="11" spans="1:16" x14ac:dyDescent="0.3">
      <c r="A11" s="26" t="s">
        <v>25</v>
      </c>
      <c r="B11" s="27" t="s">
        <v>26</v>
      </c>
      <c r="C11" s="27" t="s">
        <v>24</v>
      </c>
      <c r="D11" s="27" t="s">
        <v>27</v>
      </c>
      <c r="E11" s="27">
        <v>8</v>
      </c>
      <c r="F11" s="27">
        <v>0.1</v>
      </c>
      <c r="G11" s="28">
        <v>45398</v>
      </c>
      <c r="H11" s="27">
        <v>965.64</v>
      </c>
      <c r="I11" s="27">
        <v>304.18</v>
      </c>
      <c r="J11" s="29">
        <f t="shared" ca="1" si="0"/>
        <v>46097.457814583337</v>
      </c>
      <c r="K11" s="27">
        <f t="shared" si="1"/>
        <v>661.46</v>
      </c>
      <c r="L11" s="30">
        <f>H11*(1-F11)-K11</f>
        <v>207.61599999999999</v>
      </c>
      <c r="N11" s="7">
        <f>SUM(Table1[Profit])</f>
        <v>68287.010000000024</v>
      </c>
      <c r="O11" s="1">
        <v>7</v>
      </c>
      <c r="P11" s="8">
        <f t="shared" ref="P11:P14" si="2">N11*O11</f>
        <v>478009.07000000018</v>
      </c>
    </row>
    <row r="12" spans="1:16" x14ac:dyDescent="0.3">
      <c r="A12" s="26" t="s">
        <v>9</v>
      </c>
      <c r="B12" s="27" t="s">
        <v>10</v>
      </c>
      <c r="C12" s="27" t="s">
        <v>11</v>
      </c>
      <c r="D12" s="27" t="s">
        <v>12</v>
      </c>
      <c r="E12" s="27">
        <v>4</v>
      </c>
      <c r="F12" s="27">
        <v>0.2</v>
      </c>
      <c r="G12" s="28">
        <v>45392</v>
      </c>
      <c r="H12" s="27">
        <v>1036.0899999999999</v>
      </c>
      <c r="I12" s="27">
        <v>331.55</v>
      </c>
      <c r="J12" s="29">
        <f t="shared" ca="1" si="0"/>
        <v>46097.457814583337</v>
      </c>
      <c r="K12" s="27">
        <f t="shared" si="1"/>
        <v>704.54</v>
      </c>
      <c r="L12" s="30">
        <f>H12*(1-F12)-K12</f>
        <v>124.33199999999999</v>
      </c>
      <c r="N12" s="7">
        <f>SUM(Table1[Profit])</f>
        <v>68287.010000000024</v>
      </c>
      <c r="O12" s="1">
        <v>15</v>
      </c>
      <c r="P12" s="8">
        <f t="shared" si="2"/>
        <v>1024305.1500000004</v>
      </c>
    </row>
    <row r="13" spans="1:16" x14ac:dyDescent="0.3">
      <c r="A13" s="26" t="s">
        <v>30</v>
      </c>
      <c r="B13" s="27" t="s">
        <v>31</v>
      </c>
      <c r="C13" s="27" t="s">
        <v>18</v>
      </c>
      <c r="D13" s="27" t="s">
        <v>27</v>
      </c>
      <c r="E13" s="27">
        <v>6</v>
      </c>
      <c r="F13" s="27">
        <v>0.2</v>
      </c>
      <c r="G13" s="28">
        <v>45401</v>
      </c>
      <c r="H13" s="27">
        <v>1074.47</v>
      </c>
      <c r="I13" s="27">
        <v>300.85000000000002</v>
      </c>
      <c r="J13" s="29">
        <f t="shared" ca="1" si="0"/>
        <v>46097.457814583337</v>
      </c>
      <c r="K13" s="27">
        <f t="shared" si="1"/>
        <v>773.62</v>
      </c>
      <c r="L13" s="30">
        <f>H13*(1-F13)-K13</f>
        <v>85.956000000000017</v>
      </c>
      <c r="N13" s="7">
        <f>SUM(Table1[Profit])</f>
        <v>68287.010000000024</v>
      </c>
      <c r="O13" s="1">
        <v>20</v>
      </c>
      <c r="P13" s="8">
        <f t="shared" si="2"/>
        <v>1365740.2000000004</v>
      </c>
    </row>
    <row r="14" spans="1:16" ht="15" thickBot="1" x14ac:dyDescent="0.35">
      <c r="A14" s="26" t="s">
        <v>13</v>
      </c>
      <c r="B14" s="27" t="s">
        <v>14</v>
      </c>
      <c r="C14" s="27" t="s">
        <v>11</v>
      </c>
      <c r="D14" s="27" t="s">
        <v>15</v>
      </c>
      <c r="E14" s="27">
        <v>3</v>
      </c>
      <c r="F14" s="27">
        <v>0.2</v>
      </c>
      <c r="G14" s="28">
        <v>45393</v>
      </c>
      <c r="H14" s="27">
        <v>1101.28</v>
      </c>
      <c r="I14" s="27">
        <v>440.51</v>
      </c>
      <c r="J14" s="29">
        <f t="shared" ca="1" si="0"/>
        <v>46097.457814583337</v>
      </c>
      <c r="K14" s="27">
        <f t="shared" si="1"/>
        <v>660.77</v>
      </c>
      <c r="L14" s="30">
        <f>H14*(1-F14)-K14</f>
        <v>220.25400000000002</v>
      </c>
      <c r="N14" s="12">
        <f>SUM(Table1[Profit])</f>
        <v>68287.010000000024</v>
      </c>
      <c r="O14" s="13">
        <v>25</v>
      </c>
      <c r="P14" s="14">
        <f t="shared" si="2"/>
        <v>1707175.2500000007</v>
      </c>
    </row>
    <row r="15" spans="1:16" x14ac:dyDescent="0.3">
      <c r="A15" s="26" t="s">
        <v>25</v>
      </c>
      <c r="B15" s="27" t="s">
        <v>26</v>
      </c>
      <c r="C15" s="27" t="s">
        <v>34</v>
      </c>
      <c r="D15" s="27" t="s">
        <v>12</v>
      </c>
      <c r="E15" s="27">
        <v>14</v>
      </c>
      <c r="F15" s="27">
        <v>0.05</v>
      </c>
      <c r="G15" s="28">
        <v>45406</v>
      </c>
      <c r="H15" s="27">
        <v>1191.58</v>
      </c>
      <c r="I15" s="27">
        <v>452.8</v>
      </c>
      <c r="J15" s="29">
        <f t="shared" ca="1" si="0"/>
        <v>46097.457814583337</v>
      </c>
      <c r="K15" s="27">
        <f t="shared" si="1"/>
        <v>738.78</v>
      </c>
      <c r="L15" s="30">
        <f>H15*(1-F15)-K15</f>
        <v>393.221</v>
      </c>
    </row>
    <row r="16" spans="1:16" x14ac:dyDescent="0.3">
      <c r="A16" s="26" t="s">
        <v>28</v>
      </c>
      <c r="B16" s="27" t="s">
        <v>29</v>
      </c>
      <c r="C16" s="27" t="s">
        <v>11</v>
      </c>
      <c r="D16" s="27" t="s">
        <v>21</v>
      </c>
      <c r="E16" s="27">
        <v>12</v>
      </c>
      <c r="F16" s="27">
        <v>0.05</v>
      </c>
      <c r="G16" s="28">
        <v>45398</v>
      </c>
      <c r="H16" s="27">
        <v>1317.53</v>
      </c>
      <c r="I16" s="27">
        <v>312.91000000000003</v>
      </c>
      <c r="J16" s="29">
        <f t="shared" ca="1" si="0"/>
        <v>46097.457814583337</v>
      </c>
      <c r="K16" s="27">
        <f t="shared" si="1"/>
        <v>1004.6199999999999</v>
      </c>
      <c r="L16" s="30">
        <f>H16*(1-F16)-K16</f>
        <v>247.0335</v>
      </c>
    </row>
    <row r="17" spans="1:12" x14ac:dyDescent="0.3">
      <c r="A17" s="26" t="s">
        <v>37</v>
      </c>
      <c r="B17" s="27" t="s">
        <v>36</v>
      </c>
      <c r="C17" s="27" t="s">
        <v>34</v>
      </c>
      <c r="D17" s="27" t="s">
        <v>12</v>
      </c>
      <c r="E17" s="27">
        <v>14</v>
      </c>
      <c r="F17" s="27">
        <v>0.15</v>
      </c>
      <c r="G17" s="28">
        <v>45404</v>
      </c>
      <c r="H17" s="27">
        <v>1343.13</v>
      </c>
      <c r="I17" s="27">
        <v>456.66</v>
      </c>
      <c r="J17" s="29">
        <f t="shared" ca="1" si="0"/>
        <v>46097.457814583337</v>
      </c>
      <c r="K17" s="27">
        <f t="shared" si="1"/>
        <v>886.47</v>
      </c>
      <c r="L17" s="30">
        <f>H17*(1-F17)-K17</f>
        <v>255.19049999999993</v>
      </c>
    </row>
    <row r="18" spans="1:12" x14ac:dyDescent="0.3">
      <c r="A18" s="26" t="s">
        <v>19</v>
      </c>
      <c r="B18" s="27" t="s">
        <v>43</v>
      </c>
      <c r="C18" s="27" t="s">
        <v>20</v>
      </c>
      <c r="D18" s="27" t="s">
        <v>21</v>
      </c>
      <c r="E18" s="27">
        <v>14</v>
      </c>
      <c r="F18" s="27">
        <v>0.2</v>
      </c>
      <c r="G18" s="28">
        <v>45410</v>
      </c>
      <c r="H18" s="27">
        <v>1502.93</v>
      </c>
      <c r="I18" s="27">
        <v>300.58999999999997</v>
      </c>
      <c r="J18" s="29">
        <f t="shared" ca="1" si="0"/>
        <v>46097.457814583337</v>
      </c>
      <c r="K18" s="27">
        <f t="shared" si="1"/>
        <v>1202.3400000000001</v>
      </c>
      <c r="L18" s="30">
        <f>H18*(1-F18)-K18</f>
        <v>3.9999999999054126E-3</v>
      </c>
    </row>
    <row r="19" spans="1:12" x14ac:dyDescent="0.3">
      <c r="A19" s="26" t="s">
        <v>46</v>
      </c>
      <c r="B19" s="27" t="s">
        <v>47</v>
      </c>
      <c r="C19" s="27" t="s">
        <v>11</v>
      </c>
      <c r="D19" s="27" t="s">
        <v>12</v>
      </c>
      <c r="E19" s="27">
        <v>13</v>
      </c>
      <c r="F19" s="27">
        <v>0.2</v>
      </c>
      <c r="G19" s="28">
        <v>45412</v>
      </c>
      <c r="H19" s="27">
        <v>1506.14</v>
      </c>
      <c r="I19" s="27">
        <v>481.96</v>
      </c>
      <c r="J19" s="29">
        <f t="shared" ca="1" si="0"/>
        <v>46097.457814583337</v>
      </c>
      <c r="K19" s="27">
        <f t="shared" si="1"/>
        <v>1024.18</v>
      </c>
      <c r="L19" s="30">
        <f>H19*(1-F19)-K19</f>
        <v>180.73199999999997</v>
      </c>
    </row>
    <row r="20" spans="1:12" x14ac:dyDescent="0.3">
      <c r="A20" s="26" t="s">
        <v>37</v>
      </c>
      <c r="B20" s="27" t="s">
        <v>38</v>
      </c>
      <c r="C20" s="27" t="s">
        <v>11</v>
      </c>
      <c r="D20" s="27" t="s">
        <v>39</v>
      </c>
      <c r="E20" s="27">
        <v>6</v>
      </c>
      <c r="F20" s="27">
        <v>0.05</v>
      </c>
      <c r="G20" s="28">
        <v>45402</v>
      </c>
      <c r="H20" s="27">
        <v>1572.82</v>
      </c>
      <c r="I20" s="27">
        <v>672.38</v>
      </c>
      <c r="J20" s="29">
        <f t="shared" ca="1" si="0"/>
        <v>46097.457814583337</v>
      </c>
      <c r="K20" s="27">
        <f t="shared" si="1"/>
        <v>900.43999999999994</v>
      </c>
      <c r="L20" s="30">
        <f>H20*(1-F20)-K20</f>
        <v>593.73899999999992</v>
      </c>
    </row>
    <row r="21" spans="1:12" x14ac:dyDescent="0.3">
      <c r="A21" s="26" t="s">
        <v>58</v>
      </c>
      <c r="B21" s="27" t="s">
        <v>43</v>
      </c>
      <c r="C21" s="27" t="s">
        <v>11</v>
      </c>
      <c r="D21" s="27" t="s">
        <v>39</v>
      </c>
      <c r="E21" s="27">
        <v>17</v>
      </c>
      <c r="F21" s="27">
        <v>0</v>
      </c>
      <c r="G21" s="28">
        <v>45752</v>
      </c>
      <c r="H21" s="27">
        <v>545.44000000000005</v>
      </c>
      <c r="I21" s="27">
        <v>245.45</v>
      </c>
      <c r="J21" s="29">
        <f t="shared" ca="1" si="0"/>
        <v>46097.457814583337</v>
      </c>
      <c r="K21" s="27">
        <f t="shared" si="1"/>
        <v>299.99000000000007</v>
      </c>
      <c r="L21" s="30">
        <f>H21*(1-F21)-K21</f>
        <v>245.45</v>
      </c>
    </row>
    <row r="22" spans="1:12" x14ac:dyDescent="0.3">
      <c r="A22" s="26" t="s">
        <v>52</v>
      </c>
      <c r="B22" s="27" t="s">
        <v>14</v>
      </c>
      <c r="C22" s="27" t="s">
        <v>20</v>
      </c>
      <c r="D22" s="27" t="s">
        <v>39</v>
      </c>
      <c r="E22" s="27">
        <v>3</v>
      </c>
      <c r="F22" s="27">
        <v>0</v>
      </c>
      <c r="G22" s="28">
        <v>45749</v>
      </c>
      <c r="H22" s="27">
        <v>740.8</v>
      </c>
      <c r="I22" s="27">
        <v>333.36</v>
      </c>
      <c r="J22" s="29">
        <f t="shared" ca="1" si="0"/>
        <v>46097.457814583337</v>
      </c>
      <c r="K22" s="27">
        <f t="shared" si="1"/>
        <v>407.43999999999994</v>
      </c>
      <c r="L22" s="30">
        <f>H22*(1-F22)-K22</f>
        <v>333.36</v>
      </c>
    </row>
    <row r="23" spans="1:12" x14ac:dyDescent="0.3">
      <c r="A23" s="26" t="s">
        <v>60</v>
      </c>
      <c r="B23" s="27" t="s">
        <v>36</v>
      </c>
      <c r="C23" s="27" t="s">
        <v>20</v>
      </c>
      <c r="D23" s="27" t="s">
        <v>15</v>
      </c>
      <c r="E23" s="27">
        <v>2</v>
      </c>
      <c r="F23" s="27">
        <v>0.05</v>
      </c>
      <c r="G23" s="28">
        <v>45754</v>
      </c>
      <c r="H23" s="27">
        <v>928.32</v>
      </c>
      <c r="I23" s="27">
        <v>440.95</v>
      </c>
      <c r="J23" s="29">
        <f t="shared" ca="1" si="0"/>
        <v>46097.457814583337</v>
      </c>
      <c r="K23" s="27">
        <f t="shared" si="1"/>
        <v>487.37000000000006</v>
      </c>
      <c r="L23" s="30">
        <f>H23*(1-F23)-K23</f>
        <v>394.53399999999993</v>
      </c>
    </row>
    <row r="24" spans="1:12" x14ac:dyDescent="0.3">
      <c r="A24" s="26" t="s">
        <v>35</v>
      </c>
      <c r="B24" s="27" t="s">
        <v>36</v>
      </c>
      <c r="C24" s="27" t="s">
        <v>18</v>
      </c>
      <c r="D24" s="27" t="s">
        <v>12</v>
      </c>
      <c r="E24" s="27">
        <v>8</v>
      </c>
      <c r="F24" s="27">
        <v>0.05</v>
      </c>
      <c r="G24" s="28">
        <v>45752</v>
      </c>
      <c r="H24" s="27">
        <v>997.61</v>
      </c>
      <c r="I24" s="27">
        <v>379.09</v>
      </c>
      <c r="J24" s="29">
        <f t="shared" ca="1" si="0"/>
        <v>46097.457814583337</v>
      </c>
      <c r="K24" s="27">
        <f t="shared" si="1"/>
        <v>618.52</v>
      </c>
      <c r="L24" s="30">
        <f>H24*(1-F24)-K24</f>
        <v>329.20949999999993</v>
      </c>
    </row>
    <row r="25" spans="1:12" x14ac:dyDescent="0.3">
      <c r="A25" s="26" t="s">
        <v>72</v>
      </c>
      <c r="B25" s="27" t="s">
        <v>45</v>
      </c>
      <c r="C25" s="27" t="s">
        <v>24</v>
      </c>
      <c r="D25" s="27" t="s">
        <v>27</v>
      </c>
      <c r="E25" s="27">
        <v>7</v>
      </c>
      <c r="F25" s="27">
        <v>0.05</v>
      </c>
      <c r="G25" s="28">
        <v>45522</v>
      </c>
      <c r="H25" s="27">
        <v>518.07000000000005</v>
      </c>
      <c r="I25" s="27">
        <v>172.26</v>
      </c>
      <c r="J25" s="29">
        <f t="shared" ca="1" si="0"/>
        <v>46097.457814583337</v>
      </c>
      <c r="K25" s="27">
        <f t="shared" si="1"/>
        <v>345.81000000000006</v>
      </c>
      <c r="L25" s="30">
        <f>H25*(1-F25)-K25</f>
        <v>146.35649999999998</v>
      </c>
    </row>
    <row r="26" spans="1:12" x14ac:dyDescent="0.3">
      <c r="A26" s="26" t="s">
        <v>70</v>
      </c>
      <c r="B26" s="27" t="s">
        <v>55</v>
      </c>
      <c r="C26" s="27" t="s">
        <v>18</v>
      </c>
      <c r="D26" s="27" t="s">
        <v>21</v>
      </c>
      <c r="E26" s="27">
        <v>10</v>
      </c>
      <c r="F26" s="27">
        <v>0.15</v>
      </c>
      <c r="G26" s="28">
        <v>45509</v>
      </c>
      <c r="H26" s="27">
        <v>539.77</v>
      </c>
      <c r="I26" s="27">
        <v>114.7</v>
      </c>
      <c r="J26" s="29">
        <f t="shared" ca="1" si="0"/>
        <v>46097.457814583337</v>
      </c>
      <c r="K26" s="27">
        <f t="shared" si="1"/>
        <v>425.07</v>
      </c>
      <c r="L26" s="30">
        <f>H26*(1-F26)-K26</f>
        <v>33.734499999999969</v>
      </c>
    </row>
    <row r="27" spans="1:12" x14ac:dyDescent="0.3">
      <c r="A27" s="26" t="s">
        <v>25</v>
      </c>
      <c r="B27" s="27" t="s">
        <v>55</v>
      </c>
      <c r="C27" s="27" t="s">
        <v>24</v>
      </c>
      <c r="D27" s="27" t="s">
        <v>12</v>
      </c>
      <c r="E27" s="27">
        <v>19</v>
      </c>
      <c r="F27" s="27">
        <v>0</v>
      </c>
      <c r="G27" s="28">
        <v>45534</v>
      </c>
      <c r="H27" s="27">
        <v>679.71</v>
      </c>
      <c r="I27" s="27">
        <v>271.88</v>
      </c>
      <c r="J27" s="29">
        <f t="shared" ca="1" si="0"/>
        <v>46097.457814583337</v>
      </c>
      <c r="K27" s="27">
        <f t="shared" si="1"/>
        <v>407.83000000000004</v>
      </c>
      <c r="L27" s="30">
        <f>H27*(1-F27)-K27</f>
        <v>271.88</v>
      </c>
    </row>
    <row r="28" spans="1:12" x14ac:dyDescent="0.3">
      <c r="A28" s="26" t="s">
        <v>13</v>
      </c>
      <c r="B28" s="27" t="s">
        <v>71</v>
      </c>
      <c r="C28" s="27" t="s">
        <v>20</v>
      </c>
      <c r="D28" s="27" t="s">
        <v>12</v>
      </c>
      <c r="E28" s="27">
        <v>5</v>
      </c>
      <c r="F28" s="27">
        <v>0.2</v>
      </c>
      <c r="G28" s="28">
        <v>45509</v>
      </c>
      <c r="H28" s="27">
        <v>804.45</v>
      </c>
      <c r="I28" s="27">
        <v>257.42</v>
      </c>
      <c r="J28" s="29">
        <f t="shared" ca="1" si="0"/>
        <v>46097.457814583337</v>
      </c>
      <c r="K28" s="27">
        <f t="shared" si="1"/>
        <v>547.03</v>
      </c>
      <c r="L28" s="30">
        <f>H28*(1-F28)-K28</f>
        <v>96.530000000000086</v>
      </c>
    </row>
    <row r="29" spans="1:12" x14ac:dyDescent="0.3">
      <c r="A29" s="26" t="s">
        <v>30</v>
      </c>
      <c r="B29" s="27" t="s">
        <v>29</v>
      </c>
      <c r="C29" s="27" t="s">
        <v>11</v>
      </c>
      <c r="D29" s="27" t="s">
        <v>39</v>
      </c>
      <c r="E29" s="27">
        <v>1</v>
      </c>
      <c r="F29" s="27">
        <v>0</v>
      </c>
      <c r="G29" s="28">
        <v>45523</v>
      </c>
      <c r="H29" s="27">
        <v>1111.3399999999999</v>
      </c>
      <c r="I29" s="27">
        <v>500.1</v>
      </c>
      <c r="J29" s="29">
        <f t="shared" ca="1" si="0"/>
        <v>46097.457814583337</v>
      </c>
      <c r="K29" s="27">
        <f t="shared" si="1"/>
        <v>611.2399999999999</v>
      </c>
      <c r="L29" s="30">
        <f>H29*(1-F29)-K29</f>
        <v>500.1</v>
      </c>
    </row>
    <row r="30" spans="1:12" x14ac:dyDescent="0.3">
      <c r="A30" s="26" t="s">
        <v>68</v>
      </c>
      <c r="B30" s="27" t="s">
        <v>33</v>
      </c>
      <c r="C30" s="27" t="s">
        <v>18</v>
      </c>
      <c r="D30" s="27" t="s">
        <v>27</v>
      </c>
      <c r="E30" s="27">
        <v>17</v>
      </c>
      <c r="F30" s="27">
        <v>0</v>
      </c>
      <c r="G30" s="28">
        <v>45534</v>
      </c>
      <c r="H30" s="27">
        <v>1143.69</v>
      </c>
      <c r="I30" s="27">
        <v>400.29</v>
      </c>
      <c r="J30" s="29">
        <f t="shared" ca="1" si="0"/>
        <v>46097.457814583337</v>
      </c>
      <c r="K30" s="27">
        <f t="shared" si="1"/>
        <v>743.40000000000009</v>
      </c>
      <c r="L30" s="30">
        <f>H30*(1-F30)-K30</f>
        <v>400.28999999999996</v>
      </c>
    </row>
    <row r="31" spans="1:12" x14ac:dyDescent="0.3">
      <c r="A31" s="26" t="s">
        <v>13</v>
      </c>
      <c r="B31" s="27" t="s">
        <v>29</v>
      </c>
      <c r="C31" s="27" t="s">
        <v>11</v>
      </c>
      <c r="D31" s="27" t="s">
        <v>21</v>
      </c>
      <c r="E31" s="27">
        <v>5</v>
      </c>
      <c r="F31" s="27">
        <v>0.15</v>
      </c>
      <c r="G31" s="28">
        <v>45513</v>
      </c>
      <c r="H31" s="27">
        <v>1215.26</v>
      </c>
      <c r="I31" s="27">
        <v>258.24</v>
      </c>
      <c r="J31" s="29">
        <f t="shared" ca="1" si="0"/>
        <v>46097.457814583337</v>
      </c>
      <c r="K31" s="27">
        <f t="shared" si="1"/>
        <v>957.02</v>
      </c>
      <c r="L31" s="30">
        <f>H31*(1-F31)-K31</f>
        <v>75.951000000000022</v>
      </c>
    </row>
    <row r="32" spans="1:12" x14ac:dyDescent="0.3">
      <c r="A32" s="26" t="s">
        <v>19</v>
      </c>
      <c r="B32" s="27" t="s">
        <v>53</v>
      </c>
      <c r="C32" s="27" t="s">
        <v>34</v>
      </c>
      <c r="D32" s="27" t="s">
        <v>27</v>
      </c>
      <c r="E32" s="27">
        <v>3</v>
      </c>
      <c r="F32" s="27">
        <v>0</v>
      </c>
      <c r="G32" s="28">
        <v>45519</v>
      </c>
      <c r="H32" s="27">
        <v>1261.3399999999999</v>
      </c>
      <c r="I32" s="27">
        <v>441.47</v>
      </c>
      <c r="J32" s="29">
        <f t="shared" ca="1" si="0"/>
        <v>46097.457814583337</v>
      </c>
      <c r="K32" s="27">
        <f t="shared" si="1"/>
        <v>819.86999999999989</v>
      </c>
      <c r="L32" s="30">
        <f>H32*(1-F32)-K32</f>
        <v>441.47</v>
      </c>
    </row>
    <row r="33" spans="1:12" x14ac:dyDescent="0.3">
      <c r="A33" s="26" t="s">
        <v>22</v>
      </c>
      <c r="B33" s="27" t="s">
        <v>31</v>
      </c>
      <c r="C33" s="27" t="s">
        <v>18</v>
      </c>
      <c r="D33" s="27" t="s">
        <v>15</v>
      </c>
      <c r="E33" s="27">
        <v>18</v>
      </c>
      <c r="F33" s="27">
        <v>0.1</v>
      </c>
      <c r="G33" s="28">
        <v>45526</v>
      </c>
      <c r="H33" s="27">
        <v>1291.47</v>
      </c>
      <c r="I33" s="27">
        <v>581.16</v>
      </c>
      <c r="J33" s="29">
        <f t="shared" ca="1" si="0"/>
        <v>46097.457814583337</v>
      </c>
      <c r="K33" s="27">
        <f t="shared" si="1"/>
        <v>710.31000000000006</v>
      </c>
      <c r="L33" s="30">
        <f>H33*(1-F33)-K33</f>
        <v>452.01300000000003</v>
      </c>
    </row>
    <row r="34" spans="1:12" x14ac:dyDescent="0.3">
      <c r="A34" s="26" t="s">
        <v>70</v>
      </c>
      <c r="B34" s="27" t="s">
        <v>38</v>
      </c>
      <c r="C34" s="27" t="s">
        <v>11</v>
      </c>
      <c r="D34" s="27" t="s">
        <v>21</v>
      </c>
      <c r="E34" s="27">
        <v>13</v>
      </c>
      <c r="F34" s="27">
        <v>0.2</v>
      </c>
      <c r="G34" s="28">
        <v>45512</v>
      </c>
      <c r="H34" s="27">
        <v>1526.6</v>
      </c>
      <c r="I34" s="27">
        <v>305.32</v>
      </c>
      <c r="J34" s="29">
        <f t="shared" ref="J34:J65" ca="1" si="3">NOW()</f>
        <v>46097.457814583337</v>
      </c>
      <c r="K34" s="27">
        <f t="shared" ref="K34:K65" si="4">H34-I34</f>
        <v>1221.28</v>
      </c>
      <c r="L34" s="30">
        <f>H34*(1-F34)-K34</f>
        <v>0</v>
      </c>
    </row>
    <row r="35" spans="1:12" x14ac:dyDescent="0.3">
      <c r="A35" s="26" t="s">
        <v>28</v>
      </c>
      <c r="B35" s="27" t="s">
        <v>71</v>
      </c>
      <c r="C35" s="27" t="s">
        <v>24</v>
      </c>
      <c r="D35" s="27" t="s">
        <v>15</v>
      </c>
      <c r="E35" s="27">
        <v>13</v>
      </c>
      <c r="F35" s="27">
        <v>0.2</v>
      </c>
      <c r="G35" s="28">
        <v>45651</v>
      </c>
      <c r="H35" s="27">
        <v>336.66</v>
      </c>
      <c r="I35" s="27">
        <v>134.66</v>
      </c>
      <c r="J35" s="29">
        <f t="shared" ca="1" si="3"/>
        <v>46097.457814583337</v>
      </c>
      <c r="K35" s="27">
        <f t="shared" si="4"/>
        <v>202.00000000000003</v>
      </c>
      <c r="L35" s="30">
        <f>H35*(1-F35)-K35</f>
        <v>67.328000000000003</v>
      </c>
    </row>
    <row r="36" spans="1:12" x14ac:dyDescent="0.3">
      <c r="A36" s="26" t="s">
        <v>49</v>
      </c>
      <c r="B36" s="27" t="s">
        <v>45</v>
      </c>
      <c r="C36" s="27" t="s">
        <v>34</v>
      </c>
      <c r="D36" s="27" t="s">
        <v>39</v>
      </c>
      <c r="E36" s="27">
        <v>16</v>
      </c>
      <c r="F36" s="27">
        <v>0.05</v>
      </c>
      <c r="G36" s="28">
        <v>45650</v>
      </c>
      <c r="H36" s="27">
        <v>388.23</v>
      </c>
      <c r="I36" s="27">
        <v>165.97</v>
      </c>
      <c r="J36" s="29">
        <f t="shared" ca="1" si="3"/>
        <v>46097.457814583337</v>
      </c>
      <c r="K36" s="27">
        <f t="shared" si="4"/>
        <v>222.26000000000002</v>
      </c>
      <c r="L36" s="30">
        <f>H36*(1-F36)-K36</f>
        <v>146.55849999999995</v>
      </c>
    </row>
    <row r="37" spans="1:12" x14ac:dyDescent="0.3">
      <c r="A37" s="26" t="s">
        <v>58</v>
      </c>
      <c r="B37" s="27" t="s">
        <v>38</v>
      </c>
      <c r="C37" s="27" t="s">
        <v>34</v>
      </c>
      <c r="D37" s="27" t="s">
        <v>21</v>
      </c>
      <c r="E37" s="27">
        <v>8</v>
      </c>
      <c r="F37" s="27">
        <v>0.05</v>
      </c>
      <c r="G37" s="28">
        <v>45631</v>
      </c>
      <c r="H37" s="27">
        <v>511.74</v>
      </c>
      <c r="I37" s="27">
        <v>121.54</v>
      </c>
      <c r="J37" s="29">
        <f t="shared" ca="1" si="3"/>
        <v>46097.457814583337</v>
      </c>
      <c r="K37" s="27">
        <f t="shared" si="4"/>
        <v>390.2</v>
      </c>
      <c r="L37" s="30">
        <f>H37*(1-F37)-K37</f>
        <v>95.952999999999975</v>
      </c>
    </row>
    <row r="38" spans="1:12" x14ac:dyDescent="0.3">
      <c r="A38" s="26" t="s">
        <v>65</v>
      </c>
      <c r="B38" s="27" t="s">
        <v>61</v>
      </c>
      <c r="C38" s="27" t="s">
        <v>20</v>
      </c>
      <c r="D38" s="27" t="s">
        <v>27</v>
      </c>
      <c r="E38" s="27">
        <v>19</v>
      </c>
      <c r="F38" s="27">
        <v>0.05</v>
      </c>
      <c r="G38" s="28">
        <v>45638</v>
      </c>
      <c r="H38" s="27">
        <v>806.03</v>
      </c>
      <c r="I38" s="27">
        <v>268</v>
      </c>
      <c r="J38" s="29">
        <f t="shared" ca="1" si="3"/>
        <v>46097.457814583337</v>
      </c>
      <c r="K38" s="27">
        <f t="shared" si="4"/>
        <v>538.03</v>
      </c>
      <c r="L38" s="30">
        <f>H38*(1-F38)-K38</f>
        <v>227.69849999999997</v>
      </c>
    </row>
    <row r="39" spans="1:12" x14ac:dyDescent="0.3">
      <c r="A39" s="26" t="s">
        <v>58</v>
      </c>
      <c r="B39" s="27" t="s">
        <v>71</v>
      </c>
      <c r="C39" s="27" t="s">
        <v>11</v>
      </c>
      <c r="D39" s="27" t="s">
        <v>27</v>
      </c>
      <c r="E39" s="27">
        <v>4</v>
      </c>
      <c r="F39" s="27">
        <v>0.2</v>
      </c>
      <c r="G39" s="28">
        <v>45630</v>
      </c>
      <c r="H39" s="27">
        <v>820.19</v>
      </c>
      <c r="I39" s="27">
        <v>229.65</v>
      </c>
      <c r="J39" s="29">
        <f t="shared" ca="1" si="3"/>
        <v>46097.457814583337</v>
      </c>
      <c r="K39" s="27">
        <f t="shared" si="4"/>
        <v>590.54000000000008</v>
      </c>
      <c r="L39" s="30">
        <f>H39*(1-F39)-K39</f>
        <v>65.611999999999966</v>
      </c>
    </row>
    <row r="40" spans="1:12" x14ac:dyDescent="0.3">
      <c r="A40" s="26" t="s">
        <v>30</v>
      </c>
      <c r="B40" s="27" t="s">
        <v>43</v>
      </c>
      <c r="C40" s="27" t="s">
        <v>11</v>
      </c>
      <c r="D40" s="27" t="s">
        <v>21</v>
      </c>
      <c r="E40" s="27">
        <v>19</v>
      </c>
      <c r="F40" s="27">
        <v>0.2</v>
      </c>
      <c r="G40" s="28">
        <v>45647</v>
      </c>
      <c r="H40" s="27">
        <v>1161.67</v>
      </c>
      <c r="I40" s="27">
        <v>232.33</v>
      </c>
      <c r="J40" s="29">
        <f t="shared" ca="1" si="3"/>
        <v>46097.457814583337</v>
      </c>
      <c r="K40" s="27">
        <f t="shared" si="4"/>
        <v>929.34</v>
      </c>
      <c r="L40" s="30">
        <f>H40*(1-F40)-K40</f>
        <v>-3.9999999999054126E-3</v>
      </c>
    </row>
    <row r="41" spans="1:12" x14ac:dyDescent="0.3">
      <c r="A41" s="26" t="s">
        <v>30</v>
      </c>
      <c r="B41" s="27" t="s">
        <v>66</v>
      </c>
      <c r="C41" s="27" t="s">
        <v>18</v>
      </c>
      <c r="D41" s="27" t="s">
        <v>12</v>
      </c>
      <c r="E41" s="27">
        <v>9</v>
      </c>
      <c r="F41" s="27">
        <v>0</v>
      </c>
      <c r="G41" s="28">
        <v>45646</v>
      </c>
      <c r="H41" s="27">
        <v>1231.26</v>
      </c>
      <c r="I41" s="27">
        <v>492.5</v>
      </c>
      <c r="J41" s="29">
        <f t="shared" ca="1" si="3"/>
        <v>46097.457814583337</v>
      </c>
      <c r="K41" s="27">
        <f t="shared" si="4"/>
        <v>738.76</v>
      </c>
      <c r="L41" s="30">
        <f>H41*(1-F41)-K41</f>
        <v>492.5</v>
      </c>
    </row>
    <row r="42" spans="1:12" x14ac:dyDescent="0.3">
      <c r="A42" s="26" t="s">
        <v>49</v>
      </c>
      <c r="B42" s="27" t="s">
        <v>23</v>
      </c>
      <c r="C42" s="27" t="s">
        <v>11</v>
      </c>
      <c r="D42" s="27" t="s">
        <v>12</v>
      </c>
      <c r="E42" s="27">
        <v>14</v>
      </c>
      <c r="F42" s="27">
        <v>0.1</v>
      </c>
      <c r="G42" s="28">
        <v>45656</v>
      </c>
      <c r="H42" s="27">
        <v>1353.79</v>
      </c>
      <c r="I42" s="27">
        <v>487.36</v>
      </c>
      <c r="J42" s="29">
        <f t="shared" ca="1" si="3"/>
        <v>46097.457814583337</v>
      </c>
      <c r="K42" s="27">
        <f t="shared" si="4"/>
        <v>866.43</v>
      </c>
      <c r="L42" s="30">
        <f>H42*(1-F42)-K42</f>
        <v>351.98100000000011</v>
      </c>
    </row>
    <row r="43" spans="1:12" x14ac:dyDescent="0.3">
      <c r="A43" s="26" t="s">
        <v>28</v>
      </c>
      <c r="B43" s="27" t="s">
        <v>26</v>
      </c>
      <c r="C43" s="27" t="s">
        <v>34</v>
      </c>
      <c r="D43" s="27" t="s">
        <v>27</v>
      </c>
      <c r="E43" s="27">
        <v>16</v>
      </c>
      <c r="F43" s="27">
        <v>0.15</v>
      </c>
      <c r="G43" s="28">
        <v>45640</v>
      </c>
      <c r="H43" s="27">
        <v>1432.47</v>
      </c>
      <c r="I43" s="27">
        <v>426.16</v>
      </c>
      <c r="J43" s="29">
        <f t="shared" ca="1" si="3"/>
        <v>46097.457814583337</v>
      </c>
      <c r="K43" s="27">
        <f t="shared" si="4"/>
        <v>1006.31</v>
      </c>
      <c r="L43" s="30">
        <f>H43*(1-F43)-K43</f>
        <v>211.28950000000009</v>
      </c>
    </row>
    <row r="44" spans="1:12" x14ac:dyDescent="0.3">
      <c r="A44" s="26" t="s">
        <v>74</v>
      </c>
      <c r="B44" s="27" t="s">
        <v>29</v>
      </c>
      <c r="C44" s="27" t="s">
        <v>34</v>
      </c>
      <c r="D44" s="27" t="s">
        <v>21</v>
      </c>
      <c r="E44" s="27">
        <v>10</v>
      </c>
      <c r="F44" s="27">
        <v>0.15</v>
      </c>
      <c r="G44" s="28">
        <v>45640</v>
      </c>
      <c r="H44" s="27">
        <v>1488.58</v>
      </c>
      <c r="I44" s="27">
        <v>316.32</v>
      </c>
      <c r="J44" s="29">
        <f t="shared" ca="1" si="3"/>
        <v>46097.457814583337</v>
      </c>
      <c r="K44" s="27">
        <f t="shared" si="4"/>
        <v>1172.26</v>
      </c>
      <c r="L44" s="30">
        <f>H44*(1-F44)-K44</f>
        <v>93.032999999999902</v>
      </c>
    </row>
    <row r="45" spans="1:12" x14ac:dyDescent="0.3">
      <c r="A45" s="26" t="s">
        <v>72</v>
      </c>
      <c r="B45" s="27" t="s">
        <v>31</v>
      </c>
      <c r="C45" s="27" t="s">
        <v>24</v>
      </c>
      <c r="D45" s="27" t="s">
        <v>15</v>
      </c>
      <c r="E45" s="27">
        <v>6</v>
      </c>
      <c r="F45" s="27">
        <v>0.15</v>
      </c>
      <c r="G45" s="28">
        <v>45651</v>
      </c>
      <c r="H45" s="27">
        <v>1589.42</v>
      </c>
      <c r="I45" s="27">
        <v>675.5</v>
      </c>
      <c r="J45" s="29">
        <f t="shared" ca="1" si="3"/>
        <v>46097.457814583337</v>
      </c>
      <c r="K45" s="27">
        <f t="shared" si="4"/>
        <v>913.92000000000007</v>
      </c>
      <c r="L45" s="30">
        <f>H45*(1-F45)-K45</f>
        <v>437.08699999999999</v>
      </c>
    </row>
    <row r="46" spans="1:12" x14ac:dyDescent="0.3">
      <c r="A46" s="26" t="s">
        <v>72</v>
      </c>
      <c r="B46" s="27" t="s">
        <v>31</v>
      </c>
      <c r="C46" s="27" t="s">
        <v>20</v>
      </c>
      <c r="D46" s="27" t="s">
        <v>39</v>
      </c>
      <c r="E46" s="27">
        <v>19</v>
      </c>
      <c r="F46" s="27">
        <v>0.1</v>
      </c>
      <c r="G46" s="28">
        <v>45703</v>
      </c>
      <c r="H46" s="27">
        <v>573.32000000000005</v>
      </c>
      <c r="I46" s="27">
        <v>232.19</v>
      </c>
      <c r="J46" s="29">
        <f t="shared" ca="1" si="3"/>
        <v>46097.457814583337</v>
      </c>
      <c r="K46" s="27">
        <f t="shared" si="4"/>
        <v>341.13000000000005</v>
      </c>
      <c r="L46" s="30">
        <f>H46*(1-F46)-K46</f>
        <v>174.858</v>
      </c>
    </row>
    <row r="47" spans="1:12" x14ac:dyDescent="0.3">
      <c r="A47" s="26" t="s">
        <v>67</v>
      </c>
      <c r="B47" s="27" t="s">
        <v>43</v>
      </c>
      <c r="C47" s="27" t="s">
        <v>20</v>
      </c>
      <c r="D47" s="27" t="s">
        <v>12</v>
      </c>
      <c r="E47" s="27">
        <v>15</v>
      </c>
      <c r="F47" s="27">
        <v>0.2</v>
      </c>
      <c r="G47" s="28">
        <v>45712</v>
      </c>
      <c r="H47" s="27">
        <v>704.28</v>
      </c>
      <c r="I47" s="27">
        <v>225.37</v>
      </c>
      <c r="J47" s="29">
        <f t="shared" ca="1" si="3"/>
        <v>46097.457814583337</v>
      </c>
      <c r="K47" s="27">
        <f t="shared" si="4"/>
        <v>478.90999999999997</v>
      </c>
      <c r="L47" s="30">
        <f>H47*(1-F47)-K47</f>
        <v>84.51400000000001</v>
      </c>
    </row>
    <row r="48" spans="1:12" x14ac:dyDescent="0.3">
      <c r="A48" s="26" t="s">
        <v>70</v>
      </c>
      <c r="B48" s="27" t="s">
        <v>29</v>
      </c>
      <c r="C48" s="27" t="s">
        <v>34</v>
      </c>
      <c r="D48" s="27" t="s">
        <v>15</v>
      </c>
      <c r="E48" s="27">
        <v>16</v>
      </c>
      <c r="F48" s="27">
        <v>0.1</v>
      </c>
      <c r="G48" s="28">
        <v>45695</v>
      </c>
      <c r="H48" s="27">
        <v>741.88</v>
      </c>
      <c r="I48" s="27">
        <v>333.85</v>
      </c>
      <c r="J48" s="29">
        <f t="shared" ca="1" si="3"/>
        <v>46097.457814583337</v>
      </c>
      <c r="K48" s="27">
        <f t="shared" si="4"/>
        <v>408.03</v>
      </c>
      <c r="L48" s="30">
        <f>H48*(1-F48)-K48</f>
        <v>259.66200000000003</v>
      </c>
    </row>
    <row r="49" spans="1:12" x14ac:dyDescent="0.3">
      <c r="A49" s="26" t="s">
        <v>75</v>
      </c>
      <c r="B49" s="27" t="s">
        <v>31</v>
      </c>
      <c r="C49" s="27" t="s">
        <v>34</v>
      </c>
      <c r="D49" s="27" t="s">
        <v>15</v>
      </c>
      <c r="E49" s="27">
        <v>18</v>
      </c>
      <c r="F49" s="27">
        <v>0.2</v>
      </c>
      <c r="G49" s="28">
        <v>45715</v>
      </c>
      <c r="H49" s="27">
        <v>826.97</v>
      </c>
      <c r="I49" s="27">
        <v>330.79</v>
      </c>
      <c r="J49" s="29">
        <f t="shared" ca="1" si="3"/>
        <v>46097.457814583337</v>
      </c>
      <c r="K49" s="27">
        <f t="shared" si="4"/>
        <v>496.18</v>
      </c>
      <c r="L49" s="30">
        <f>H49*(1-F49)-K49</f>
        <v>165.39600000000002</v>
      </c>
    </row>
    <row r="50" spans="1:12" x14ac:dyDescent="0.3">
      <c r="A50" s="26" t="s">
        <v>65</v>
      </c>
      <c r="B50" s="27" t="s">
        <v>48</v>
      </c>
      <c r="C50" s="27" t="s">
        <v>11</v>
      </c>
      <c r="D50" s="27" t="s">
        <v>39</v>
      </c>
      <c r="E50" s="27">
        <v>7</v>
      </c>
      <c r="F50" s="27">
        <v>0.1</v>
      </c>
      <c r="G50" s="28">
        <v>45693</v>
      </c>
      <c r="H50" s="27">
        <v>827.25</v>
      </c>
      <c r="I50" s="27">
        <v>335.04</v>
      </c>
      <c r="J50" s="29">
        <f t="shared" ca="1" si="3"/>
        <v>46097.457814583337</v>
      </c>
      <c r="K50" s="27">
        <f t="shared" si="4"/>
        <v>492.21</v>
      </c>
      <c r="L50" s="30">
        <f>H50*(1-F50)-K50</f>
        <v>252.315</v>
      </c>
    </row>
    <row r="51" spans="1:12" x14ac:dyDescent="0.3">
      <c r="A51" s="26" t="s">
        <v>13</v>
      </c>
      <c r="B51" s="27" t="s">
        <v>45</v>
      </c>
      <c r="C51" s="27" t="s">
        <v>24</v>
      </c>
      <c r="D51" s="27" t="s">
        <v>15</v>
      </c>
      <c r="E51" s="27">
        <v>4</v>
      </c>
      <c r="F51" s="27">
        <v>0</v>
      </c>
      <c r="G51" s="28">
        <v>45707</v>
      </c>
      <c r="H51" s="27">
        <v>845.84</v>
      </c>
      <c r="I51" s="27">
        <v>422.92</v>
      </c>
      <c r="J51" s="29">
        <f t="shared" ca="1" si="3"/>
        <v>46097.457814583337</v>
      </c>
      <c r="K51" s="27">
        <f t="shared" si="4"/>
        <v>422.92</v>
      </c>
      <c r="L51" s="30">
        <f>H51*(1-F51)-K51</f>
        <v>422.92</v>
      </c>
    </row>
    <row r="52" spans="1:12" x14ac:dyDescent="0.3">
      <c r="A52" s="26" t="s">
        <v>73</v>
      </c>
      <c r="B52" s="27" t="s">
        <v>53</v>
      </c>
      <c r="C52" s="27" t="s">
        <v>34</v>
      </c>
      <c r="D52" s="27" t="s">
        <v>12</v>
      </c>
      <c r="E52" s="27">
        <v>2</v>
      </c>
      <c r="F52" s="27">
        <v>0.15</v>
      </c>
      <c r="G52" s="28">
        <v>45713</v>
      </c>
      <c r="H52" s="27">
        <v>1014.43</v>
      </c>
      <c r="I52" s="27">
        <v>344.91</v>
      </c>
      <c r="J52" s="29">
        <f t="shared" ca="1" si="3"/>
        <v>46097.457814583337</v>
      </c>
      <c r="K52" s="27">
        <f t="shared" si="4"/>
        <v>669.52</v>
      </c>
      <c r="L52" s="30">
        <f>H52*(1-F52)-K52</f>
        <v>192.74549999999999</v>
      </c>
    </row>
    <row r="53" spans="1:12" x14ac:dyDescent="0.3">
      <c r="A53" s="26" t="s">
        <v>30</v>
      </c>
      <c r="B53" s="27" t="s">
        <v>55</v>
      </c>
      <c r="C53" s="27" t="s">
        <v>11</v>
      </c>
      <c r="D53" s="27" t="s">
        <v>21</v>
      </c>
      <c r="E53" s="27">
        <v>3</v>
      </c>
      <c r="F53" s="27">
        <v>0</v>
      </c>
      <c r="G53" s="28">
        <v>45708</v>
      </c>
      <c r="H53" s="27">
        <v>1029.8</v>
      </c>
      <c r="I53" s="27">
        <v>257.45</v>
      </c>
      <c r="J53" s="29">
        <f t="shared" ca="1" si="3"/>
        <v>46097.457814583337</v>
      </c>
      <c r="K53" s="27">
        <f t="shared" si="4"/>
        <v>772.34999999999991</v>
      </c>
      <c r="L53" s="30">
        <f>H53*(1-F53)-K53</f>
        <v>257.45000000000005</v>
      </c>
    </row>
    <row r="54" spans="1:12" x14ac:dyDescent="0.3">
      <c r="A54" s="26" t="s">
        <v>58</v>
      </c>
      <c r="B54" s="27" t="s">
        <v>45</v>
      </c>
      <c r="C54" s="27" t="s">
        <v>18</v>
      </c>
      <c r="D54" s="27" t="s">
        <v>12</v>
      </c>
      <c r="E54" s="27">
        <v>9</v>
      </c>
      <c r="F54" s="27">
        <v>0.1</v>
      </c>
      <c r="G54" s="28">
        <v>45692</v>
      </c>
      <c r="H54" s="27">
        <v>1098.08</v>
      </c>
      <c r="I54" s="27">
        <v>395.31</v>
      </c>
      <c r="J54" s="29">
        <f t="shared" ca="1" si="3"/>
        <v>46097.457814583337</v>
      </c>
      <c r="K54" s="27">
        <f t="shared" si="4"/>
        <v>702.77</v>
      </c>
      <c r="L54" s="30">
        <f>H54*(1-F54)-K54</f>
        <v>285.50199999999995</v>
      </c>
    </row>
    <row r="55" spans="1:12" x14ac:dyDescent="0.3">
      <c r="A55" s="26" t="s">
        <v>22</v>
      </c>
      <c r="B55" s="27" t="s">
        <v>31</v>
      </c>
      <c r="C55" s="27" t="s">
        <v>18</v>
      </c>
      <c r="D55" s="27" t="s">
        <v>15</v>
      </c>
      <c r="E55" s="27">
        <v>5</v>
      </c>
      <c r="F55" s="27">
        <v>0.2</v>
      </c>
      <c r="G55" s="28">
        <v>45690</v>
      </c>
      <c r="H55" s="27">
        <v>1109.98</v>
      </c>
      <c r="I55" s="27">
        <v>443.99</v>
      </c>
      <c r="J55" s="29">
        <f t="shared" ca="1" si="3"/>
        <v>46097.457814583337</v>
      </c>
      <c r="K55" s="27">
        <f t="shared" si="4"/>
        <v>665.99</v>
      </c>
      <c r="L55" s="30">
        <f>H55*(1-F55)-K55</f>
        <v>221.99400000000003</v>
      </c>
    </row>
    <row r="56" spans="1:12" x14ac:dyDescent="0.3">
      <c r="A56" s="26" t="s">
        <v>52</v>
      </c>
      <c r="B56" s="27" t="s">
        <v>23</v>
      </c>
      <c r="C56" s="27" t="s">
        <v>11</v>
      </c>
      <c r="D56" s="27" t="s">
        <v>21</v>
      </c>
      <c r="E56" s="27">
        <v>14</v>
      </c>
      <c r="F56" s="27">
        <v>0.2</v>
      </c>
      <c r="G56" s="28">
        <v>45705</v>
      </c>
      <c r="H56" s="27">
        <v>1115.22</v>
      </c>
      <c r="I56" s="27">
        <v>223.04</v>
      </c>
      <c r="J56" s="29">
        <f t="shared" ca="1" si="3"/>
        <v>46097.457814583337</v>
      </c>
      <c r="K56" s="27">
        <f t="shared" si="4"/>
        <v>892.18000000000006</v>
      </c>
      <c r="L56" s="30">
        <f>H56*(1-F56)-K56</f>
        <v>-4.0000000000190994E-3</v>
      </c>
    </row>
    <row r="57" spans="1:12" x14ac:dyDescent="0.3">
      <c r="A57" s="26" t="s">
        <v>32</v>
      </c>
      <c r="B57" s="27" t="s">
        <v>31</v>
      </c>
      <c r="C57" s="27" t="s">
        <v>24</v>
      </c>
      <c r="D57" s="27" t="s">
        <v>12</v>
      </c>
      <c r="E57" s="27">
        <v>2</v>
      </c>
      <c r="F57" s="27">
        <v>0.2</v>
      </c>
      <c r="G57" s="28">
        <v>45709</v>
      </c>
      <c r="H57" s="27">
        <v>1189.83</v>
      </c>
      <c r="I57" s="27">
        <v>380.75</v>
      </c>
      <c r="J57" s="29">
        <f t="shared" ca="1" si="3"/>
        <v>46097.457814583337</v>
      </c>
      <c r="K57" s="27">
        <f t="shared" si="4"/>
        <v>809.07999999999993</v>
      </c>
      <c r="L57" s="30">
        <f>H57*(1-F57)-K57</f>
        <v>142.78400000000011</v>
      </c>
    </row>
    <row r="58" spans="1:12" x14ac:dyDescent="0.3">
      <c r="A58" s="26" t="s">
        <v>72</v>
      </c>
      <c r="B58" s="27" t="s">
        <v>10</v>
      </c>
      <c r="C58" s="27" t="s">
        <v>18</v>
      </c>
      <c r="D58" s="27" t="s">
        <v>39</v>
      </c>
      <c r="E58" s="27">
        <v>6</v>
      </c>
      <c r="F58" s="27">
        <v>0.1</v>
      </c>
      <c r="G58" s="28">
        <v>45698</v>
      </c>
      <c r="H58" s="27">
        <v>1311.26</v>
      </c>
      <c r="I58" s="27">
        <v>531.05999999999995</v>
      </c>
      <c r="J58" s="29">
        <f t="shared" ca="1" si="3"/>
        <v>46097.457814583337</v>
      </c>
      <c r="K58" s="27">
        <f t="shared" si="4"/>
        <v>780.2</v>
      </c>
      <c r="L58" s="30">
        <f>H58*(1-F58)-K58</f>
        <v>399.93399999999997</v>
      </c>
    </row>
    <row r="59" spans="1:12" x14ac:dyDescent="0.3">
      <c r="A59" s="26" t="s">
        <v>65</v>
      </c>
      <c r="B59" s="27" t="s">
        <v>47</v>
      </c>
      <c r="C59" s="27" t="s">
        <v>34</v>
      </c>
      <c r="D59" s="27" t="s">
        <v>39</v>
      </c>
      <c r="E59" s="27">
        <v>12</v>
      </c>
      <c r="F59" s="27">
        <v>0.2</v>
      </c>
      <c r="G59" s="28">
        <v>45712</v>
      </c>
      <c r="H59" s="27">
        <v>1618.22</v>
      </c>
      <c r="I59" s="27">
        <v>582.55999999999995</v>
      </c>
      <c r="J59" s="29">
        <f t="shared" ca="1" si="3"/>
        <v>46097.457814583337</v>
      </c>
      <c r="K59" s="27">
        <f t="shared" si="4"/>
        <v>1035.6600000000001</v>
      </c>
      <c r="L59" s="30">
        <f>H59*(1-F59)-K59</f>
        <v>258.91599999999994</v>
      </c>
    </row>
    <row r="60" spans="1:12" x14ac:dyDescent="0.3">
      <c r="A60" s="26" t="s">
        <v>52</v>
      </c>
      <c r="B60" s="27" t="s">
        <v>48</v>
      </c>
      <c r="C60" s="27" t="s">
        <v>24</v>
      </c>
      <c r="D60" s="27" t="s">
        <v>39</v>
      </c>
      <c r="E60" s="27">
        <v>1</v>
      </c>
      <c r="F60" s="27">
        <v>0.2</v>
      </c>
      <c r="G60" s="28">
        <v>45658</v>
      </c>
      <c r="H60" s="27">
        <v>309.42</v>
      </c>
      <c r="I60" s="27">
        <v>111.39</v>
      </c>
      <c r="J60" s="29">
        <f t="shared" ca="1" si="3"/>
        <v>46097.457814583337</v>
      </c>
      <c r="K60" s="27">
        <f t="shared" si="4"/>
        <v>198.03000000000003</v>
      </c>
      <c r="L60" s="30">
        <f>H60*(1-F60)-K60</f>
        <v>49.506</v>
      </c>
    </row>
    <row r="61" spans="1:12" x14ac:dyDescent="0.3">
      <c r="A61" s="26" t="s">
        <v>58</v>
      </c>
      <c r="B61" s="27" t="s">
        <v>36</v>
      </c>
      <c r="C61" s="27" t="s">
        <v>11</v>
      </c>
      <c r="D61" s="27" t="s">
        <v>15</v>
      </c>
      <c r="E61" s="27">
        <v>9</v>
      </c>
      <c r="F61" s="27">
        <v>0.05</v>
      </c>
      <c r="G61" s="28">
        <v>45673</v>
      </c>
      <c r="H61" s="27">
        <v>379.77</v>
      </c>
      <c r="I61" s="27">
        <v>180.39</v>
      </c>
      <c r="J61" s="29">
        <f t="shared" ca="1" si="3"/>
        <v>46097.457814583337</v>
      </c>
      <c r="K61" s="27">
        <f t="shared" si="4"/>
        <v>199.38</v>
      </c>
      <c r="L61" s="30">
        <f>H61*(1-F61)-K61</f>
        <v>161.4015</v>
      </c>
    </row>
    <row r="62" spans="1:12" x14ac:dyDescent="0.3">
      <c r="A62" s="26" t="s">
        <v>22</v>
      </c>
      <c r="B62" s="27" t="s">
        <v>43</v>
      </c>
      <c r="C62" s="27" t="s">
        <v>11</v>
      </c>
      <c r="D62" s="27" t="s">
        <v>15</v>
      </c>
      <c r="E62" s="27">
        <v>17</v>
      </c>
      <c r="F62" s="27">
        <v>0.1</v>
      </c>
      <c r="G62" s="28">
        <v>45684</v>
      </c>
      <c r="H62" s="27">
        <v>585.16</v>
      </c>
      <c r="I62" s="27">
        <v>263.32</v>
      </c>
      <c r="J62" s="29">
        <f t="shared" ca="1" si="3"/>
        <v>46097.457814583337</v>
      </c>
      <c r="K62" s="27">
        <f t="shared" si="4"/>
        <v>321.83999999999997</v>
      </c>
      <c r="L62" s="30">
        <f>H62*(1-F62)-K62</f>
        <v>204.80400000000003</v>
      </c>
    </row>
    <row r="63" spans="1:12" x14ac:dyDescent="0.3">
      <c r="A63" s="26" t="s">
        <v>75</v>
      </c>
      <c r="B63" s="27" t="s">
        <v>48</v>
      </c>
      <c r="C63" s="27" t="s">
        <v>24</v>
      </c>
      <c r="D63" s="27" t="s">
        <v>12</v>
      </c>
      <c r="E63" s="27">
        <v>11</v>
      </c>
      <c r="F63" s="27">
        <v>0.2</v>
      </c>
      <c r="G63" s="28">
        <v>45678</v>
      </c>
      <c r="H63" s="27">
        <v>640.64</v>
      </c>
      <c r="I63" s="27">
        <v>205</v>
      </c>
      <c r="J63" s="29">
        <f t="shared" ca="1" si="3"/>
        <v>46097.457814583337</v>
      </c>
      <c r="K63" s="27">
        <f t="shared" si="4"/>
        <v>435.64</v>
      </c>
      <c r="L63" s="30">
        <f>H63*(1-F63)-K63</f>
        <v>76.872000000000071</v>
      </c>
    </row>
    <row r="64" spans="1:12" x14ac:dyDescent="0.3">
      <c r="A64" s="26" t="s">
        <v>63</v>
      </c>
      <c r="B64" s="27" t="s">
        <v>69</v>
      </c>
      <c r="C64" s="27" t="s">
        <v>34</v>
      </c>
      <c r="D64" s="27" t="s">
        <v>15</v>
      </c>
      <c r="E64" s="27">
        <v>11</v>
      </c>
      <c r="F64" s="27">
        <v>0.05</v>
      </c>
      <c r="G64" s="28">
        <v>45658</v>
      </c>
      <c r="H64" s="27">
        <v>662.61</v>
      </c>
      <c r="I64" s="27">
        <v>314.74</v>
      </c>
      <c r="J64" s="29">
        <f t="shared" ca="1" si="3"/>
        <v>46097.457814583337</v>
      </c>
      <c r="K64" s="27">
        <f t="shared" si="4"/>
        <v>347.87</v>
      </c>
      <c r="L64" s="30">
        <f>H64*(1-F64)-K64</f>
        <v>281.60950000000003</v>
      </c>
    </row>
    <row r="65" spans="1:12" x14ac:dyDescent="0.3">
      <c r="A65" s="26" t="s">
        <v>52</v>
      </c>
      <c r="B65" s="27" t="s">
        <v>23</v>
      </c>
      <c r="C65" s="27" t="s">
        <v>34</v>
      </c>
      <c r="D65" s="27" t="s">
        <v>39</v>
      </c>
      <c r="E65" s="27">
        <v>10</v>
      </c>
      <c r="F65" s="27">
        <v>0.1</v>
      </c>
      <c r="G65" s="28">
        <v>45660</v>
      </c>
      <c r="H65" s="27">
        <v>745.05</v>
      </c>
      <c r="I65" s="27">
        <v>301.75</v>
      </c>
      <c r="J65" s="29">
        <f t="shared" ca="1" si="3"/>
        <v>46097.457814583337</v>
      </c>
      <c r="K65" s="27">
        <f t="shared" si="4"/>
        <v>443.29999999999995</v>
      </c>
      <c r="L65" s="30">
        <f>H65*(1-F65)-K65</f>
        <v>227.245</v>
      </c>
    </row>
    <row r="66" spans="1:12" x14ac:dyDescent="0.3">
      <c r="A66" s="26" t="s">
        <v>35</v>
      </c>
      <c r="B66" s="27" t="s">
        <v>29</v>
      </c>
      <c r="C66" s="27" t="s">
        <v>11</v>
      </c>
      <c r="D66" s="27" t="s">
        <v>27</v>
      </c>
      <c r="E66" s="27">
        <v>18</v>
      </c>
      <c r="F66" s="27">
        <v>0.05</v>
      </c>
      <c r="G66" s="28">
        <v>45663</v>
      </c>
      <c r="H66" s="27">
        <v>862.19</v>
      </c>
      <c r="I66" s="27">
        <v>286.68</v>
      </c>
      <c r="J66" s="29">
        <f t="shared" ref="J66:J97" ca="1" si="5">NOW()</f>
        <v>46097.457814583337</v>
      </c>
      <c r="K66" s="27">
        <f t="shared" ref="K66:K97" si="6">H66-I66</f>
        <v>575.51</v>
      </c>
      <c r="L66" s="30">
        <f>H66*(1-F66)-K66</f>
        <v>243.57050000000004</v>
      </c>
    </row>
    <row r="67" spans="1:12" x14ac:dyDescent="0.3">
      <c r="A67" s="26" t="s">
        <v>60</v>
      </c>
      <c r="B67" s="27" t="s">
        <v>17</v>
      </c>
      <c r="C67" s="27" t="s">
        <v>20</v>
      </c>
      <c r="D67" s="27" t="s">
        <v>15</v>
      </c>
      <c r="E67" s="27">
        <v>5</v>
      </c>
      <c r="F67" s="27">
        <v>0.05</v>
      </c>
      <c r="G67" s="28">
        <v>45660</v>
      </c>
      <c r="H67" s="27">
        <v>870.23</v>
      </c>
      <c r="I67" s="27">
        <v>413.36</v>
      </c>
      <c r="J67" s="29">
        <f t="shared" ca="1" si="5"/>
        <v>46097.457814583337</v>
      </c>
      <c r="K67" s="27">
        <f t="shared" si="6"/>
        <v>456.87</v>
      </c>
      <c r="L67" s="30">
        <f>H67*(1-F67)-K67</f>
        <v>369.84849999999994</v>
      </c>
    </row>
    <row r="68" spans="1:12" x14ac:dyDescent="0.3">
      <c r="A68" s="26" t="s">
        <v>63</v>
      </c>
      <c r="B68" s="27" t="s">
        <v>29</v>
      </c>
      <c r="C68" s="27" t="s">
        <v>24</v>
      </c>
      <c r="D68" s="27" t="s">
        <v>12</v>
      </c>
      <c r="E68" s="27">
        <v>18</v>
      </c>
      <c r="F68" s="27">
        <v>0.1</v>
      </c>
      <c r="G68" s="28">
        <v>45659</v>
      </c>
      <c r="H68" s="27">
        <v>884.63</v>
      </c>
      <c r="I68" s="27">
        <v>318.47000000000003</v>
      </c>
      <c r="J68" s="29">
        <f t="shared" ca="1" si="5"/>
        <v>46097.457814583337</v>
      </c>
      <c r="K68" s="27">
        <f t="shared" si="6"/>
        <v>566.16</v>
      </c>
      <c r="L68" s="30">
        <f>H68*(1-F68)-K68</f>
        <v>230.00700000000006</v>
      </c>
    </row>
    <row r="69" spans="1:12" x14ac:dyDescent="0.3">
      <c r="A69" s="26" t="s">
        <v>58</v>
      </c>
      <c r="B69" s="27" t="s">
        <v>14</v>
      </c>
      <c r="C69" s="27" t="s">
        <v>20</v>
      </c>
      <c r="D69" s="27" t="s">
        <v>27</v>
      </c>
      <c r="E69" s="27">
        <v>11</v>
      </c>
      <c r="F69" s="27">
        <v>0.1</v>
      </c>
      <c r="G69" s="28">
        <v>45669</v>
      </c>
      <c r="H69" s="27">
        <v>1054.56</v>
      </c>
      <c r="I69" s="27">
        <v>332.19</v>
      </c>
      <c r="J69" s="29">
        <f t="shared" ca="1" si="5"/>
        <v>46097.457814583337</v>
      </c>
      <c r="K69" s="27">
        <f t="shared" si="6"/>
        <v>722.36999999999989</v>
      </c>
      <c r="L69" s="30">
        <f>H69*(1-F69)-K69</f>
        <v>226.73400000000004</v>
      </c>
    </row>
    <row r="70" spans="1:12" x14ac:dyDescent="0.3">
      <c r="A70" s="26" t="s">
        <v>44</v>
      </c>
      <c r="B70" s="27" t="s">
        <v>45</v>
      </c>
      <c r="C70" s="27" t="s">
        <v>34</v>
      </c>
      <c r="D70" s="27" t="s">
        <v>15</v>
      </c>
      <c r="E70" s="27">
        <v>2</v>
      </c>
      <c r="F70" s="27">
        <v>0.1</v>
      </c>
      <c r="G70" s="28">
        <v>45674</v>
      </c>
      <c r="H70" s="27">
        <v>1076.33</v>
      </c>
      <c r="I70" s="27">
        <v>484.35</v>
      </c>
      <c r="J70" s="29">
        <f t="shared" ca="1" si="5"/>
        <v>46097.457814583337</v>
      </c>
      <c r="K70" s="27">
        <f t="shared" si="6"/>
        <v>591.9799999999999</v>
      </c>
      <c r="L70" s="30">
        <f>H70*(1-F70)-K70</f>
        <v>376.7170000000001</v>
      </c>
    </row>
    <row r="71" spans="1:12" x14ac:dyDescent="0.3">
      <c r="A71" s="26" t="s">
        <v>40</v>
      </c>
      <c r="B71" s="27" t="s">
        <v>17</v>
      </c>
      <c r="C71" s="27" t="s">
        <v>20</v>
      </c>
      <c r="D71" s="27" t="s">
        <v>15</v>
      </c>
      <c r="E71" s="27">
        <v>6</v>
      </c>
      <c r="F71" s="27">
        <v>0.2</v>
      </c>
      <c r="G71" s="28">
        <v>45674</v>
      </c>
      <c r="H71" s="27">
        <v>1118.3399999999999</v>
      </c>
      <c r="I71" s="27">
        <v>447.34</v>
      </c>
      <c r="J71" s="29">
        <f t="shared" ca="1" si="5"/>
        <v>46097.457814583337</v>
      </c>
      <c r="K71" s="27">
        <f t="shared" si="6"/>
        <v>671</v>
      </c>
      <c r="L71" s="30">
        <f>H71*(1-F71)-K71</f>
        <v>223.67200000000003</v>
      </c>
    </row>
    <row r="72" spans="1:12" x14ac:dyDescent="0.3">
      <c r="A72" s="26" t="s">
        <v>73</v>
      </c>
      <c r="B72" s="27" t="s">
        <v>59</v>
      </c>
      <c r="C72" s="27" t="s">
        <v>24</v>
      </c>
      <c r="D72" s="27" t="s">
        <v>15</v>
      </c>
      <c r="E72" s="27">
        <v>19</v>
      </c>
      <c r="F72" s="27">
        <v>0.05</v>
      </c>
      <c r="G72" s="28">
        <v>45667</v>
      </c>
      <c r="H72" s="27">
        <v>1171.18</v>
      </c>
      <c r="I72" s="27">
        <v>556.30999999999995</v>
      </c>
      <c r="J72" s="29">
        <f t="shared" ca="1" si="5"/>
        <v>46097.457814583337</v>
      </c>
      <c r="K72" s="27">
        <f t="shared" si="6"/>
        <v>614.87000000000012</v>
      </c>
      <c r="L72" s="30">
        <f>H72*(1-F72)-K72</f>
        <v>497.75099999999998</v>
      </c>
    </row>
    <row r="73" spans="1:12" x14ac:dyDescent="0.3">
      <c r="A73" s="26" t="s">
        <v>44</v>
      </c>
      <c r="B73" s="27" t="s">
        <v>31</v>
      </c>
      <c r="C73" s="27" t="s">
        <v>34</v>
      </c>
      <c r="D73" s="27" t="s">
        <v>39</v>
      </c>
      <c r="E73" s="27">
        <v>7</v>
      </c>
      <c r="F73" s="27">
        <v>0</v>
      </c>
      <c r="G73" s="28">
        <v>45674</v>
      </c>
      <c r="H73" s="27">
        <v>1250.71</v>
      </c>
      <c r="I73" s="27">
        <v>562.82000000000005</v>
      </c>
      <c r="J73" s="29">
        <f t="shared" ca="1" si="5"/>
        <v>46097.457814583337</v>
      </c>
      <c r="K73" s="27">
        <f t="shared" si="6"/>
        <v>687.89</v>
      </c>
      <c r="L73" s="30">
        <f>H73*(1-F73)-K73</f>
        <v>562.82000000000005</v>
      </c>
    </row>
    <row r="74" spans="1:12" x14ac:dyDescent="0.3">
      <c r="A74" s="26" t="s">
        <v>70</v>
      </c>
      <c r="B74" s="27" t="s">
        <v>53</v>
      </c>
      <c r="C74" s="27" t="s">
        <v>24</v>
      </c>
      <c r="D74" s="27" t="s">
        <v>15</v>
      </c>
      <c r="E74" s="27">
        <v>12</v>
      </c>
      <c r="F74" s="27">
        <v>0.2</v>
      </c>
      <c r="G74" s="28">
        <v>45677</v>
      </c>
      <c r="H74" s="27">
        <v>1622.62</v>
      </c>
      <c r="I74" s="27">
        <v>649.04999999999995</v>
      </c>
      <c r="J74" s="29">
        <f t="shared" ca="1" si="5"/>
        <v>46097.457814583337</v>
      </c>
      <c r="K74" s="27">
        <f t="shared" si="6"/>
        <v>973.56999999999994</v>
      </c>
      <c r="L74" s="30">
        <f>H74*(1-F74)-K74</f>
        <v>324.52600000000007</v>
      </c>
    </row>
    <row r="75" spans="1:12" x14ac:dyDescent="0.3">
      <c r="A75" s="26" t="s">
        <v>58</v>
      </c>
      <c r="B75" s="27" t="s">
        <v>23</v>
      </c>
      <c r="C75" s="27" t="s">
        <v>24</v>
      </c>
      <c r="D75" s="27" t="s">
        <v>21</v>
      </c>
      <c r="E75" s="27">
        <v>5</v>
      </c>
      <c r="F75" s="27">
        <v>0.2</v>
      </c>
      <c r="G75" s="28">
        <v>45670</v>
      </c>
      <c r="H75" s="27">
        <v>1681.21</v>
      </c>
      <c r="I75" s="27">
        <v>336.24</v>
      </c>
      <c r="J75" s="29">
        <f t="shared" ca="1" si="5"/>
        <v>46097.457814583337</v>
      </c>
      <c r="K75" s="27">
        <f t="shared" si="6"/>
        <v>1344.97</v>
      </c>
      <c r="L75" s="30">
        <f>H75*(1-F75)-K75</f>
        <v>-1.9999999999527063E-3</v>
      </c>
    </row>
    <row r="76" spans="1:12" x14ac:dyDescent="0.3">
      <c r="A76" s="26" t="s">
        <v>35</v>
      </c>
      <c r="B76" s="27" t="s">
        <v>55</v>
      </c>
      <c r="C76" s="27" t="s">
        <v>34</v>
      </c>
      <c r="D76" s="27" t="s">
        <v>39</v>
      </c>
      <c r="E76" s="27">
        <v>9</v>
      </c>
      <c r="F76" s="27">
        <v>0</v>
      </c>
      <c r="G76" s="28">
        <v>45479</v>
      </c>
      <c r="H76" s="27">
        <v>488.99</v>
      </c>
      <c r="I76" s="27">
        <v>220.05</v>
      </c>
      <c r="J76" s="29">
        <f t="shared" ca="1" si="5"/>
        <v>46097.457814583337</v>
      </c>
      <c r="K76" s="27">
        <f t="shared" si="6"/>
        <v>268.94</v>
      </c>
      <c r="L76" s="30">
        <f>H76*(1-F76)-K76</f>
        <v>220.05</v>
      </c>
    </row>
    <row r="77" spans="1:12" x14ac:dyDescent="0.3">
      <c r="A77" s="26" t="s">
        <v>22</v>
      </c>
      <c r="B77" s="27" t="s">
        <v>55</v>
      </c>
      <c r="C77" s="27" t="s">
        <v>34</v>
      </c>
      <c r="D77" s="27" t="s">
        <v>21</v>
      </c>
      <c r="E77" s="27">
        <v>1</v>
      </c>
      <c r="F77" s="27">
        <v>0.05</v>
      </c>
      <c r="G77" s="28">
        <v>45503</v>
      </c>
      <c r="H77" s="27">
        <v>608.66</v>
      </c>
      <c r="I77" s="27">
        <v>144.56</v>
      </c>
      <c r="J77" s="29">
        <f t="shared" ca="1" si="5"/>
        <v>46097.457814583337</v>
      </c>
      <c r="K77" s="27">
        <f t="shared" si="6"/>
        <v>464.09999999999997</v>
      </c>
      <c r="L77" s="30">
        <f>H77*(1-F77)-K77</f>
        <v>114.12700000000001</v>
      </c>
    </row>
    <row r="78" spans="1:12" x14ac:dyDescent="0.3">
      <c r="A78" s="26" t="s">
        <v>44</v>
      </c>
      <c r="B78" s="27" t="s">
        <v>10</v>
      </c>
      <c r="C78" s="27" t="s">
        <v>34</v>
      </c>
      <c r="D78" s="27" t="s">
        <v>39</v>
      </c>
      <c r="E78" s="27">
        <v>1</v>
      </c>
      <c r="F78" s="27">
        <v>0.05</v>
      </c>
      <c r="G78" s="28">
        <v>45502</v>
      </c>
      <c r="H78" s="27">
        <v>804.81</v>
      </c>
      <c r="I78" s="27">
        <v>344.06</v>
      </c>
      <c r="J78" s="29">
        <f t="shared" ca="1" si="5"/>
        <v>46097.457814583337</v>
      </c>
      <c r="K78" s="27">
        <f t="shared" si="6"/>
        <v>460.74999999999994</v>
      </c>
      <c r="L78" s="30">
        <f>H78*(1-F78)-K78</f>
        <v>303.81950000000001</v>
      </c>
    </row>
    <row r="79" spans="1:12" x14ac:dyDescent="0.3">
      <c r="A79" s="26" t="s">
        <v>65</v>
      </c>
      <c r="B79" s="27" t="s">
        <v>31</v>
      </c>
      <c r="C79" s="27" t="s">
        <v>20</v>
      </c>
      <c r="D79" s="27" t="s">
        <v>12</v>
      </c>
      <c r="E79" s="27">
        <v>12</v>
      </c>
      <c r="F79" s="27">
        <v>0.05</v>
      </c>
      <c r="G79" s="28">
        <v>45488</v>
      </c>
      <c r="H79" s="27">
        <v>876.44</v>
      </c>
      <c r="I79" s="27">
        <v>333.05</v>
      </c>
      <c r="J79" s="29">
        <f t="shared" ca="1" si="5"/>
        <v>46097.457814583337</v>
      </c>
      <c r="K79" s="27">
        <f t="shared" si="6"/>
        <v>543.3900000000001</v>
      </c>
      <c r="L79" s="30">
        <f>H79*(1-F79)-K79</f>
        <v>289.22799999999995</v>
      </c>
    </row>
    <row r="80" spans="1:12" x14ac:dyDescent="0.3">
      <c r="A80" s="26" t="s">
        <v>30</v>
      </c>
      <c r="B80" s="27" t="s">
        <v>31</v>
      </c>
      <c r="C80" s="27" t="s">
        <v>18</v>
      </c>
      <c r="D80" s="27" t="s">
        <v>27</v>
      </c>
      <c r="E80" s="27">
        <v>17</v>
      </c>
      <c r="F80" s="27">
        <v>0.1</v>
      </c>
      <c r="G80" s="28">
        <v>45481</v>
      </c>
      <c r="H80" s="27">
        <v>933.71</v>
      </c>
      <c r="I80" s="27">
        <v>294.12</v>
      </c>
      <c r="J80" s="29">
        <f t="shared" ca="1" si="5"/>
        <v>46097.457814583337</v>
      </c>
      <c r="K80" s="27">
        <f t="shared" si="6"/>
        <v>639.59</v>
      </c>
      <c r="L80" s="30">
        <f>H80*(1-F80)-K80</f>
        <v>200.74900000000002</v>
      </c>
    </row>
    <row r="81" spans="1:12" x14ac:dyDescent="0.3">
      <c r="A81" s="26" t="s">
        <v>68</v>
      </c>
      <c r="B81" s="27" t="s">
        <v>69</v>
      </c>
      <c r="C81" s="27" t="s">
        <v>20</v>
      </c>
      <c r="D81" s="27" t="s">
        <v>39</v>
      </c>
      <c r="E81" s="27">
        <v>19</v>
      </c>
      <c r="F81" s="27">
        <v>0</v>
      </c>
      <c r="G81" s="28">
        <v>45504</v>
      </c>
      <c r="H81" s="27">
        <v>981.2</v>
      </c>
      <c r="I81" s="27">
        <v>441.54</v>
      </c>
      <c r="J81" s="29">
        <f t="shared" ca="1" si="5"/>
        <v>46097.457814583337</v>
      </c>
      <c r="K81" s="27">
        <f t="shared" si="6"/>
        <v>539.66000000000008</v>
      </c>
      <c r="L81" s="30">
        <f>H81*(1-F81)-K81</f>
        <v>441.53999999999996</v>
      </c>
    </row>
    <row r="82" spans="1:12" x14ac:dyDescent="0.3">
      <c r="A82" s="26" t="s">
        <v>67</v>
      </c>
      <c r="B82" s="27" t="s">
        <v>10</v>
      </c>
      <c r="C82" s="27" t="s">
        <v>11</v>
      </c>
      <c r="D82" s="27" t="s">
        <v>21</v>
      </c>
      <c r="E82" s="27">
        <v>17</v>
      </c>
      <c r="F82" s="27">
        <v>0.2</v>
      </c>
      <c r="G82" s="28">
        <v>45481</v>
      </c>
      <c r="H82" s="27">
        <v>1005.53</v>
      </c>
      <c r="I82" s="27">
        <v>201.11</v>
      </c>
      <c r="J82" s="29">
        <f t="shared" ca="1" si="5"/>
        <v>46097.457814583337</v>
      </c>
      <c r="K82" s="27">
        <f t="shared" si="6"/>
        <v>804.42</v>
      </c>
      <c r="L82" s="30">
        <f>H82*(1-F82)-K82</f>
        <v>4.0000000000190994E-3</v>
      </c>
    </row>
    <row r="83" spans="1:12" x14ac:dyDescent="0.3">
      <c r="A83" s="26" t="s">
        <v>57</v>
      </c>
      <c r="B83" s="27" t="s">
        <v>47</v>
      </c>
      <c r="C83" s="27" t="s">
        <v>24</v>
      </c>
      <c r="D83" s="27" t="s">
        <v>21</v>
      </c>
      <c r="E83" s="27">
        <v>11</v>
      </c>
      <c r="F83" s="27">
        <v>0.05</v>
      </c>
      <c r="G83" s="28">
        <v>45494</v>
      </c>
      <c r="H83" s="27">
        <v>1020.26</v>
      </c>
      <c r="I83" s="27">
        <v>242.31</v>
      </c>
      <c r="J83" s="29">
        <f t="shared" ca="1" si="5"/>
        <v>46097.457814583337</v>
      </c>
      <c r="K83" s="27">
        <f t="shared" si="6"/>
        <v>777.95</v>
      </c>
      <c r="L83" s="30">
        <f>H83*(1-F83)-K83</f>
        <v>191.29699999999991</v>
      </c>
    </row>
    <row r="84" spans="1:12" x14ac:dyDescent="0.3">
      <c r="A84" s="26" t="s">
        <v>67</v>
      </c>
      <c r="B84" s="27" t="s">
        <v>23</v>
      </c>
      <c r="C84" s="27" t="s">
        <v>24</v>
      </c>
      <c r="D84" s="27" t="s">
        <v>27</v>
      </c>
      <c r="E84" s="27">
        <v>15</v>
      </c>
      <c r="F84" s="27">
        <v>0.15</v>
      </c>
      <c r="G84" s="28">
        <v>45487</v>
      </c>
      <c r="H84" s="27">
        <v>1034.7</v>
      </c>
      <c r="I84" s="27">
        <v>307.82</v>
      </c>
      <c r="J84" s="29">
        <f t="shared" ca="1" si="5"/>
        <v>46097.457814583337</v>
      </c>
      <c r="K84" s="27">
        <f t="shared" si="6"/>
        <v>726.88000000000011</v>
      </c>
      <c r="L84" s="30">
        <f>H84*(1-F84)-K84</f>
        <v>152.6149999999999</v>
      </c>
    </row>
    <row r="85" spans="1:12" x14ac:dyDescent="0.3">
      <c r="A85" s="26" t="s">
        <v>41</v>
      </c>
      <c r="B85" s="27" t="s">
        <v>61</v>
      </c>
      <c r="C85" s="27" t="s">
        <v>20</v>
      </c>
      <c r="D85" s="27" t="s">
        <v>21</v>
      </c>
      <c r="E85" s="27">
        <v>5</v>
      </c>
      <c r="F85" s="27">
        <v>0.05</v>
      </c>
      <c r="G85" s="28">
        <v>45482</v>
      </c>
      <c r="H85" s="27">
        <v>1100.0999999999999</v>
      </c>
      <c r="I85" s="27">
        <v>261.27</v>
      </c>
      <c r="J85" s="29">
        <f t="shared" ca="1" si="5"/>
        <v>46097.457814583337</v>
      </c>
      <c r="K85" s="27">
        <f t="shared" si="6"/>
        <v>838.82999999999993</v>
      </c>
      <c r="L85" s="30">
        <f>H85*(1-F85)-K85</f>
        <v>206.26499999999987</v>
      </c>
    </row>
    <row r="86" spans="1:12" x14ac:dyDescent="0.3">
      <c r="A86" s="26" t="s">
        <v>68</v>
      </c>
      <c r="B86" s="27" t="s">
        <v>55</v>
      </c>
      <c r="C86" s="27" t="s">
        <v>11</v>
      </c>
      <c r="D86" s="27" t="s">
        <v>27</v>
      </c>
      <c r="E86" s="27">
        <v>5</v>
      </c>
      <c r="F86" s="27">
        <v>0.05</v>
      </c>
      <c r="G86" s="28">
        <v>45488</v>
      </c>
      <c r="H86" s="27">
        <v>1371.34</v>
      </c>
      <c r="I86" s="27">
        <v>455.97</v>
      </c>
      <c r="J86" s="29">
        <f t="shared" ca="1" si="5"/>
        <v>46097.457814583337</v>
      </c>
      <c r="K86" s="27">
        <f t="shared" si="6"/>
        <v>915.36999999999989</v>
      </c>
      <c r="L86" s="30">
        <f>H86*(1-F86)-K86</f>
        <v>387.40300000000002</v>
      </c>
    </row>
    <row r="87" spans="1:12" x14ac:dyDescent="0.3">
      <c r="A87" s="26" t="s">
        <v>57</v>
      </c>
      <c r="B87" s="27" t="s">
        <v>31</v>
      </c>
      <c r="C87" s="27" t="s">
        <v>18</v>
      </c>
      <c r="D87" s="27" t="s">
        <v>12</v>
      </c>
      <c r="E87" s="27">
        <v>8</v>
      </c>
      <c r="F87" s="27">
        <v>0.1</v>
      </c>
      <c r="G87" s="28">
        <v>45478</v>
      </c>
      <c r="H87" s="27">
        <v>1383.3</v>
      </c>
      <c r="I87" s="27">
        <v>497.99</v>
      </c>
      <c r="J87" s="29">
        <f t="shared" ca="1" si="5"/>
        <v>46097.457814583337</v>
      </c>
      <c r="K87" s="27">
        <f t="shared" si="6"/>
        <v>885.31</v>
      </c>
      <c r="L87" s="30">
        <f>H87*(1-F87)-K87</f>
        <v>359.66000000000008</v>
      </c>
    </row>
    <row r="88" spans="1:12" x14ac:dyDescent="0.3">
      <c r="A88" s="26" t="s">
        <v>40</v>
      </c>
      <c r="B88" s="27" t="s">
        <v>56</v>
      </c>
      <c r="C88" s="27" t="s">
        <v>18</v>
      </c>
      <c r="D88" s="27" t="s">
        <v>39</v>
      </c>
      <c r="E88" s="27">
        <v>11</v>
      </c>
      <c r="F88" s="27">
        <v>0.15</v>
      </c>
      <c r="G88" s="28">
        <v>45447</v>
      </c>
      <c r="H88" s="27">
        <v>556.41999999999996</v>
      </c>
      <c r="I88" s="27">
        <v>212.83</v>
      </c>
      <c r="J88" s="29">
        <f t="shared" ca="1" si="5"/>
        <v>46097.457814583337</v>
      </c>
      <c r="K88" s="27">
        <f t="shared" si="6"/>
        <v>343.58999999999992</v>
      </c>
      <c r="L88" s="30">
        <f>H88*(1-F88)-K88</f>
        <v>129.36700000000002</v>
      </c>
    </row>
    <row r="89" spans="1:12" x14ac:dyDescent="0.3">
      <c r="A89" s="26" t="s">
        <v>41</v>
      </c>
      <c r="B89" s="27" t="s">
        <v>64</v>
      </c>
      <c r="C89" s="27" t="s">
        <v>24</v>
      </c>
      <c r="D89" s="27" t="s">
        <v>21</v>
      </c>
      <c r="E89" s="27">
        <v>1</v>
      </c>
      <c r="F89" s="27">
        <v>0.2</v>
      </c>
      <c r="G89" s="28">
        <v>45471</v>
      </c>
      <c r="H89" s="27">
        <v>741.61</v>
      </c>
      <c r="I89" s="27">
        <v>148.32</v>
      </c>
      <c r="J89" s="29">
        <f t="shared" ca="1" si="5"/>
        <v>46097.457814583337</v>
      </c>
      <c r="K89" s="27">
        <f t="shared" si="6"/>
        <v>593.29</v>
      </c>
      <c r="L89" s="30">
        <f>H89*(1-F89)-K89</f>
        <v>-1.9999999999527063E-3</v>
      </c>
    </row>
    <row r="90" spans="1:12" x14ac:dyDescent="0.3">
      <c r="A90" s="26" t="s">
        <v>44</v>
      </c>
      <c r="B90" s="27" t="s">
        <v>51</v>
      </c>
      <c r="C90" s="27" t="s">
        <v>20</v>
      </c>
      <c r="D90" s="27" t="s">
        <v>21</v>
      </c>
      <c r="E90" s="27">
        <v>6</v>
      </c>
      <c r="F90" s="27">
        <v>0.1</v>
      </c>
      <c r="G90" s="28">
        <v>45457</v>
      </c>
      <c r="H90" s="27">
        <v>775.45</v>
      </c>
      <c r="I90" s="27">
        <v>174.48</v>
      </c>
      <c r="J90" s="29">
        <f t="shared" ca="1" si="5"/>
        <v>46097.457814583337</v>
      </c>
      <c r="K90" s="27">
        <f t="shared" si="6"/>
        <v>600.97</v>
      </c>
      <c r="L90" s="30">
        <f>H90*(1-F90)-K90</f>
        <v>96.935000000000059</v>
      </c>
    </row>
    <row r="91" spans="1:12" x14ac:dyDescent="0.3">
      <c r="A91" s="26" t="s">
        <v>32</v>
      </c>
      <c r="B91" s="27" t="s">
        <v>38</v>
      </c>
      <c r="C91" s="27" t="s">
        <v>24</v>
      </c>
      <c r="D91" s="27" t="s">
        <v>21</v>
      </c>
      <c r="E91" s="27">
        <v>15</v>
      </c>
      <c r="F91" s="27">
        <v>0.15</v>
      </c>
      <c r="G91" s="28">
        <v>45468</v>
      </c>
      <c r="H91" s="27">
        <v>818.8</v>
      </c>
      <c r="I91" s="27">
        <v>173.99</v>
      </c>
      <c r="J91" s="29">
        <f t="shared" ca="1" si="5"/>
        <v>46097.457814583337</v>
      </c>
      <c r="K91" s="27">
        <f t="shared" si="6"/>
        <v>644.80999999999995</v>
      </c>
      <c r="L91" s="30">
        <f>H91*(1-F91)-K91</f>
        <v>51.169999999999959</v>
      </c>
    </row>
    <row r="92" spans="1:12" x14ac:dyDescent="0.3">
      <c r="A92" s="26" t="s">
        <v>57</v>
      </c>
      <c r="B92" s="27" t="s">
        <v>23</v>
      </c>
      <c r="C92" s="27" t="s">
        <v>34</v>
      </c>
      <c r="D92" s="27" t="s">
        <v>12</v>
      </c>
      <c r="E92" s="27">
        <v>19</v>
      </c>
      <c r="F92" s="27">
        <v>0.1</v>
      </c>
      <c r="G92" s="28">
        <v>45448</v>
      </c>
      <c r="H92" s="27">
        <v>840.85</v>
      </c>
      <c r="I92" s="27">
        <v>302.70999999999998</v>
      </c>
      <c r="J92" s="29">
        <f t="shared" ca="1" si="5"/>
        <v>46097.457814583337</v>
      </c>
      <c r="K92" s="27">
        <f t="shared" si="6"/>
        <v>538.1400000000001</v>
      </c>
      <c r="L92" s="30">
        <f>H92*(1-F92)-K92</f>
        <v>218.62499999999989</v>
      </c>
    </row>
    <row r="93" spans="1:12" x14ac:dyDescent="0.3">
      <c r="A93" s="26" t="s">
        <v>16</v>
      </c>
      <c r="B93" s="27" t="s">
        <v>62</v>
      </c>
      <c r="C93" s="27" t="s">
        <v>34</v>
      </c>
      <c r="D93" s="27" t="s">
        <v>21</v>
      </c>
      <c r="E93" s="27">
        <v>2</v>
      </c>
      <c r="F93" s="27">
        <v>0</v>
      </c>
      <c r="G93" s="28">
        <v>45449</v>
      </c>
      <c r="H93" s="27">
        <v>856.7</v>
      </c>
      <c r="I93" s="27">
        <v>214.18</v>
      </c>
      <c r="J93" s="29">
        <f t="shared" ca="1" si="5"/>
        <v>46097.457814583337</v>
      </c>
      <c r="K93" s="27">
        <f t="shared" si="6"/>
        <v>642.52</v>
      </c>
      <c r="L93" s="30">
        <f>H93*(1-F93)-K93</f>
        <v>214.18000000000006</v>
      </c>
    </row>
    <row r="94" spans="1:12" x14ac:dyDescent="0.3">
      <c r="A94" s="26" t="s">
        <v>19</v>
      </c>
      <c r="B94" s="27" t="s">
        <v>14</v>
      </c>
      <c r="C94" s="27" t="s">
        <v>20</v>
      </c>
      <c r="D94" s="27" t="s">
        <v>27</v>
      </c>
      <c r="E94" s="27">
        <v>10</v>
      </c>
      <c r="F94" s="27">
        <v>0.2</v>
      </c>
      <c r="G94" s="28">
        <v>45468</v>
      </c>
      <c r="H94" s="27">
        <v>919.04</v>
      </c>
      <c r="I94" s="27">
        <v>257.33</v>
      </c>
      <c r="J94" s="29">
        <f t="shared" ca="1" si="5"/>
        <v>46097.457814583337</v>
      </c>
      <c r="K94" s="27">
        <f t="shared" si="6"/>
        <v>661.71</v>
      </c>
      <c r="L94" s="30">
        <f>H94*(1-F94)-K94</f>
        <v>73.521999999999935</v>
      </c>
    </row>
    <row r="95" spans="1:12" x14ac:dyDescent="0.3">
      <c r="A95" s="26" t="s">
        <v>65</v>
      </c>
      <c r="B95" s="27" t="s">
        <v>48</v>
      </c>
      <c r="C95" s="27" t="s">
        <v>11</v>
      </c>
      <c r="D95" s="27" t="s">
        <v>12</v>
      </c>
      <c r="E95" s="27">
        <v>18</v>
      </c>
      <c r="F95" s="27">
        <v>0.1</v>
      </c>
      <c r="G95" s="28">
        <v>45466</v>
      </c>
      <c r="H95" s="27">
        <v>942.9</v>
      </c>
      <c r="I95" s="27">
        <v>339.44</v>
      </c>
      <c r="J95" s="29">
        <f t="shared" ca="1" si="5"/>
        <v>46097.457814583337</v>
      </c>
      <c r="K95" s="27">
        <f t="shared" si="6"/>
        <v>603.46</v>
      </c>
      <c r="L95" s="30">
        <f>H95*(1-F95)-K95</f>
        <v>245.14999999999998</v>
      </c>
    </row>
    <row r="96" spans="1:12" x14ac:dyDescent="0.3">
      <c r="A96" s="26" t="s">
        <v>22</v>
      </c>
      <c r="B96" s="27" t="s">
        <v>66</v>
      </c>
      <c r="C96" s="27" t="s">
        <v>34</v>
      </c>
      <c r="D96" s="27" t="s">
        <v>12</v>
      </c>
      <c r="E96" s="27">
        <v>11</v>
      </c>
      <c r="F96" s="27">
        <v>0</v>
      </c>
      <c r="G96" s="28">
        <v>45470</v>
      </c>
      <c r="H96" s="27">
        <v>973.26</v>
      </c>
      <c r="I96" s="27">
        <v>389.3</v>
      </c>
      <c r="J96" s="29">
        <f t="shared" ca="1" si="5"/>
        <v>46097.457814583337</v>
      </c>
      <c r="K96" s="27">
        <f t="shared" si="6"/>
        <v>583.96</v>
      </c>
      <c r="L96" s="30">
        <f>H96*(1-F96)-K96</f>
        <v>389.29999999999995</v>
      </c>
    </row>
    <row r="97" spans="1:12" x14ac:dyDescent="0.3">
      <c r="A97" s="26" t="s">
        <v>63</v>
      </c>
      <c r="B97" s="27" t="s">
        <v>31</v>
      </c>
      <c r="C97" s="27" t="s">
        <v>24</v>
      </c>
      <c r="D97" s="27" t="s">
        <v>39</v>
      </c>
      <c r="E97" s="27">
        <v>12</v>
      </c>
      <c r="F97" s="27">
        <v>0</v>
      </c>
      <c r="G97" s="28">
        <v>45450</v>
      </c>
      <c r="H97" s="27">
        <v>1001.57</v>
      </c>
      <c r="I97" s="27">
        <v>450.71</v>
      </c>
      <c r="J97" s="29">
        <f t="shared" ca="1" si="5"/>
        <v>46097.457814583337</v>
      </c>
      <c r="K97" s="27">
        <f t="shared" si="6"/>
        <v>550.86000000000013</v>
      </c>
      <c r="L97" s="30">
        <f>H97*(1-F97)-K97</f>
        <v>450.70999999999992</v>
      </c>
    </row>
    <row r="98" spans="1:12" x14ac:dyDescent="0.3">
      <c r="A98" s="26" t="s">
        <v>25</v>
      </c>
      <c r="B98" s="27" t="s">
        <v>33</v>
      </c>
      <c r="C98" s="27" t="s">
        <v>20</v>
      </c>
      <c r="D98" s="27" t="s">
        <v>21</v>
      </c>
      <c r="E98" s="27">
        <v>6</v>
      </c>
      <c r="F98" s="27">
        <v>0.05</v>
      </c>
      <c r="G98" s="28">
        <v>45461</v>
      </c>
      <c r="H98" s="27">
        <v>1021.47</v>
      </c>
      <c r="I98" s="27">
        <v>242.6</v>
      </c>
      <c r="J98" s="29">
        <f t="shared" ref="J98:J129" ca="1" si="7">NOW()</f>
        <v>46097.457814583337</v>
      </c>
      <c r="K98" s="27">
        <f t="shared" ref="K98:K129" si="8">H98-I98</f>
        <v>778.87</v>
      </c>
      <c r="L98" s="30">
        <f>H98*(1-F98)-K98</f>
        <v>191.52649999999994</v>
      </c>
    </row>
    <row r="99" spans="1:12" x14ac:dyDescent="0.3">
      <c r="A99" s="26" t="s">
        <v>52</v>
      </c>
      <c r="B99" s="27" t="s">
        <v>23</v>
      </c>
      <c r="C99" s="27" t="s">
        <v>34</v>
      </c>
      <c r="D99" s="27" t="s">
        <v>39</v>
      </c>
      <c r="E99" s="27">
        <v>5</v>
      </c>
      <c r="F99" s="27">
        <v>0.2</v>
      </c>
      <c r="G99" s="28">
        <v>45447</v>
      </c>
      <c r="H99" s="27">
        <v>1025.98</v>
      </c>
      <c r="I99" s="27">
        <v>369.35</v>
      </c>
      <c r="J99" s="29">
        <f t="shared" ca="1" si="7"/>
        <v>46097.457814583337</v>
      </c>
      <c r="K99" s="27">
        <f t="shared" si="8"/>
        <v>656.63</v>
      </c>
      <c r="L99" s="30">
        <f>H99*(1-F99)-K99</f>
        <v>164.15400000000011</v>
      </c>
    </row>
    <row r="100" spans="1:12" x14ac:dyDescent="0.3">
      <c r="A100" s="26" t="s">
        <v>22</v>
      </c>
      <c r="B100" s="27" t="s">
        <v>64</v>
      </c>
      <c r="C100" s="27" t="s">
        <v>20</v>
      </c>
      <c r="D100" s="27" t="s">
        <v>27</v>
      </c>
      <c r="E100" s="27">
        <v>2</v>
      </c>
      <c r="F100" s="27">
        <v>0</v>
      </c>
      <c r="G100" s="28">
        <v>45464</v>
      </c>
      <c r="H100" s="27">
        <v>1086.93</v>
      </c>
      <c r="I100" s="27">
        <v>380.43</v>
      </c>
      <c r="J100" s="29">
        <f t="shared" ca="1" si="7"/>
        <v>46097.457814583337</v>
      </c>
      <c r="K100" s="27">
        <f t="shared" si="8"/>
        <v>706.5</v>
      </c>
      <c r="L100" s="30">
        <f>H100*(1-F100)-K100</f>
        <v>380.43000000000006</v>
      </c>
    </row>
    <row r="101" spans="1:12" x14ac:dyDescent="0.3">
      <c r="A101" s="26" t="s">
        <v>19</v>
      </c>
      <c r="B101" s="27" t="s">
        <v>42</v>
      </c>
      <c r="C101" s="27" t="s">
        <v>20</v>
      </c>
      <c r="D101" s="27" t="s">
        <v>12</v>
      </c>
      <c r="E101" s="27">
        <v>15</v>
      </c>
      <c r="F101" s="27">
        <v>0.1</v>
      </c>
      <c r="G101" s="28">
        <v>45445</v>
      </c>
      <c r="H101" s="27">
        <v>1151.21</v>
      </c>
      <c r="I101" s="27">
        <v>414.44</v>
      </c>
      <c r="J101" s="29">
        <f t="shared" ca="1" si="7"/>
        <v>46097.457814583337</v>
      </c>
      <c r="K101" s="27">
        <f t="shared" si="8"/>
        <v>736.77</v>
      </c>
      <c r="L101" s="30">
        <f>H101*(1-F101)-K101</f>
        <v>299.31900000000019</v>
      </c>
    </row>
    <row r="102" spans="1:12" x14ac:dyDescent="0.3">
      <c r="A102" s="26" t="s">
        <v>57</v>
      </c>
      <c r="B102" s="27" t="s">
        <v>26</v>
      </c>
      <c r="C102" s="27" t="s">
        <v>18</v>
      </c>
      <c r="D102" s="27" t="s">
        <v>27</v>
      </c>
      <c r="E102" s="27">
        <v>19</v>
      </c>
      <c r="F102" s="27">
        <v>0.2</v>
      </c>
      <c r="G102" s="28">
        <v>45451</v>
      </c>
      <c r="H102" s="27">
        <v>1186.8499999999999</v>
      </c>
      <c r="I102" s="27">
        <v>332.32</v>
      </c>
      <c r="J102" s="29">
        <f t="shared" ca="1" si="7"/>
        <v>46097.457814583337</v>
      </c>
      <c r="K102" s="27">
        <f t="shared" si="8"/>
        <v>854.53</v>
      </c>
      <c r="L102" s="30">
        <f>H102*(1-F102)-K102</f>
        <v>94.950000000000045</v>
      </c>
    </row>
    <row r="103" spans="1:12" x14ac:dyDescent="0.3">
      <c r="A103" s="26" t="s">
        <v>54</v>
      </c>
      <c r="B103" s="27" t="s">
        <v>56</v>
      </c>
      <c r="C103" s="27" t="s">
        <v>34</v>
      </c>
      <c r="D103" s="27" t="s">
        <v>39</v>
      </c>
      <c r="E103" s="27">
        <v>8</v>
      </c>
      <c r="F103" s="27">
        <v>0.15</v>
      </c>
      <c r="G103" s="28">
        <v>45449</v>
      </c>
      <c r="H103" s="27">
        <v>1225.42</v>
      </c>
      <c r="I103" s="27">
        <v>468.72</v>
      </c>
      <c r="J103" s="29">
        <f t="shared" ca="1" si="7"/>
        <v>46097.457814583337</v>
      </c>
      <c r="K103" s="27">
        <f t="shared" si="8"/>
        <v>756.7</v>
      </c>
      <c r="L103" s="30">
        <f>H103*(1-F103)-K103</f>
        <v>284.90699999999993</v>
      </c>
    </row>
    <row r="104" spans="1:12" x14ac:dyDescent="0.3">
      <c r="A104" s="26" t="s">
        <v>58</v>
      </c>
      <c r="B104" s="27" t="s">
        <v>23</v>
      </c>
      <c r="C104" s="27" t="s">
        <v>20</v>
      </c>
      <c r="D104" s="27" t="s">
        <v>15</v>
      </c>
      <c r="E104" s="27">
        <v>7</v>
      </c>
      <c r="F104" s="27">
        <v>0.1</v>
      </c>
      <c r="G104" s="28">
        <v>45463</v>
      </c>
      <c r="H104" s="27">
        <v>1226.6199999999999</v>
      </c>
      <c r="I104" s="27">
        <v>551.98</v>
      </c>
      <c r="J104" s="29">
        <f t="shared" ca="1" si="7"/>
        <v>46097.457814583337</v>
      </c>
      <c r="K104" s="27">
        <f t="shared" si="8"/>
        <v>674.63999999999987</v>
      </c>
      <c r="L104" s="30">
        <f>H104*(1-F104)-K104</f>
        <v>429.31799999999998</v>
      </c>
    </row>
    <row r="105" spans="1:12" x14ac:dyDescent="0.3">
      <c r="A105" s="26" t="s">
        <v>30</v>
      </c>
      <c r="B105" s="27" t="s">
        <v>61</v>
      </c>
      <c r="C105" s="27" t="s">
        <v>24</v>
      </c>
      <c r="D105" s="27" t="s">
        <v>27</v>
      </c>
      <c r="E105" s="27">
        <v>12</v>
      </c>
      <c r="F105" s="27">
        <v>0.15</v>
      </c>
      <c r="G105" s="28">
        <v>45448</v>
      </c>
      <c r="H105" s="27">
        <v>1227.25</v>
      </c>
      <c r="I105" s="27">
        <v>365.11</v>
      </c>
      <c r="J105" s="29">
        <f t="shared" ca="1" si="7"/>
        <v>46097.457814583337</v>
      </c>
      <c r="K105" s="27">
        <f t="shared" si="8"/>
        <v>862.14</v>
      </c>
      <c r="L105" s="30">
        <f>H105*(1-F105)-K105</f>
        <v>181.02249999999992</v>
      </c>
    </row>
    <row r="106" spans="1:12" x14ac:dyDescent="0.3">
      <c r="A106" s="26" t="s">
        <v>67</v>
      </c>
      <c r="B106" s="27" t="s">
        <v>38</v>
      </c>
      <c r="C106" s="27" t="s">
        <v>24</v>
      </c>
      <c r="D106" s="27" t="s">
        <v>12</v>
      </c>
      <c r="E106" s="27">
        <v>2</v>
      </c>
      <c r="F106" s="27">
        <v>0.1</v>
      </c>
      <c r="G106" s="28">
        <v>45473</v>
      </c>
      <c r="H106" s="27">
        <v>1248.82</v>
      </c>
      <c r="I106" s="27">
        <v>449.58</v>
      </c>
      <c r="J106" s="29">
        <f t="shared" ca="1" si="7"/>
        <v>46097.457814583337</v>
      </c>
      <c r="K106" s="27">
        <f t="shared" si="8"/>
        <v>799.24</v>
      </c>
      <c r="L106" s="30">
        <f>H106*(1-F106)-K106</f>
        <v>324.69799999999987</v>
      </c>
    </row>
    <row r="107" spans="1:12" x14ac:dyDescent="0.3">
      <c r="A107" s="26" t="s">
        <v>13</v>
      </c>
      <c r="B107" s="27" t="s">
        <v>59</v>
      </c>
      <c r="C107" s="27" t="s">
        <v>11</v>
      </c>
      <c r="D107" s="27" t="s">
        <v>15</v>
      </c>
      <c r="E107" s="27">
        <v>17</v>
      </c>
      <c r="F107" s="27">
        <v>0</v>
      </c>
      <c r="G107" s="28">
        <v>45473</v>
      </c>
      <c r="H107" s="27">
        <v>1360.36</v>
      </c>
      <c r="I107" s="27">
        <v>680.18</v>
      </c>
      <c r="J107" s="29">
        <f t="shared" ca="1" si="7"/>
        <v>46097.457814583337</v>
      </c>
      <c r="K107" s="27">
        <f t="shared" si="8"/>
        <v>680.18</v>
      </c>
      <c r="L107" s="30">
        <f>H107*(1-F107)-K107</f>
        <v>680.18</v>
      </c>
    </row>
    <row r="108" spans="1:12" x14ac:dyDescent="0.3">
      <c r="A108" s="26" t="s">
        <v>67</v>
      </c>
      <c r="B108" s="27" t="s">
        <v>38</v>
      </c>
      <c r="C108" s="27" t="s">
        <v>18</v>
      </c>
      <c r="D108" s="27" t="s">
        <v>39</v>
      </c>
      <c r="E108" s="27">
        <v>18</v>
      </c>
      <c r="F108" s="27">
        <v>0.05</v>
      </c>
      <c r="G108" s="28">
        <v>45726</v>
      </c>
      <c r="H108" s="27">
        <v>438.76</v>
      </c>
      <c r="I108" s="27">
        <v>187.57</v>
      </c>
      <c r="J108" s="29">
        <f t="shared" ca="1" si="7"/>
        <v>46097.457814583337</v>
      </c>
      <c r="K108" s="27">
        <f t="shared" si="8"/>
        <v>251.19</v>
      </c>
      <c r="L108" s="30">
        <f>H108*(1-F108)-K108</f>
        <v>165.63199999999995</v>
      </c>
    </row>
    <row r="109" spans="1:12" x14ac:dyDescent="0.3">
      <c r="A109" s="26" t="s">
        <v>41</v>
      </c>
      <c r="B109" s="27" t="s">
        <v>26</v>
      </c>
      <c r="C109" s="27" t="s">
        <v>24</v>
      </c>
      <c r="D109" s="27" t="s">
        <v>21</v>
      </c>
      <c r="E109" s="27">
        <v>15</v>
      </c>
      <c r="F109" s="27">
        <v>0.2</v>
      </c>
      <c r="G109" s="28">
        <v>45741</v>
      </c>
      <c r="H109" s="27">
        <v>458.54</v>
      </c>
      <c r="I109" s="27">
        <v>91.71</v>
      </c>
      <c r="J109" s="29">
        <f t="shared" ca="1" si="7"/>
        <v>46097.457814583337</v>
      </c>
      <c r="K109" s="27">
        <f t="shared" si="8"/>
        <v>366.83000000000004</v>
      </c>
      <c r="L109" s="30">
        <f>H109*(1-F109)-K109</f>
        <v>2.0000000000095497E-3</v>
      </c>
    </row>
    <row r="110" spans="1:12" x14ac:dyDescent="0.3">
      <c r="A110" s="26" t="s">
        <v>52</v>
      </c>
      <c r="B110" s="27" t="s">
        <v>59</v>
      </c>
      <c r="C110" s="27" t="s">
        <v>24</v>
      </c>
      <c r="D110" s="27" t="s">
        <v>12</v>
      </c>
      <c r="E110" s="27">
        <v>15</v>
      </c>
      <c r="F110" s="27">
        <v>0.2</v>
      </c>
      <c r="G110" s="28">
        <v>45724</v>
      </c>
      <c r="H110" s="27">
        <v>499.18</v>
      </c>
      <c r="I110" s="27">
        <v>159.74</v>
      </c>
      <c r="J110" s="29">
        <f t="shared" ca="1" si="7"/>
        <v>46097.457814583337</v>
      </c>
      <c r="K110" s="27">
        <f t="shared" si="8"/>
        <v>339.44</v>
      </c>
      <c r="L110" s="30">
        <f>H110*(1-F110)-K110</f>
        <v>59.904000000000053</v>
      </c>
    </row>
    <row r="111" spans="1:12" x14ac:dyDescent="0.3">
      <c r="A111" s="26" t="s">
        <v>40</v>
      </c>
      <c r="B111" s="27" t="s">
        <v>59</v>
      </c>
      <c r="C111" s="27" t="s">
        <v>20</v>
      </c>
      <c r="D111" s="27" t="s">
        <v>15</v>
      </c>
      <c r="E111" s="27">
        <v>1</v>
      </c>
      <c r="F111" s="27">
        <v>0</v>
      </c>
      <c r="G111" s="28">
        <v>45738</v>
      </c>
      <c r="H111" s="27">
        <v>682.24</v>
      </c>
      <c r="I111" s="27">
        <v>341.12</v>
      </c>
      <c r="J111" s="29">
        <f t="shared" ca="1" si="7"/>
        <v>46097.457814583337</v>
      </c>
      <c r="K111" s="27">
        <f t="shared" si="8"/>
        <v>341.12</v>
      </c>
      <c r="L111" s="30">
        <f>H111*(1-F111)-K111</f>
        <v>341.12</v>
      </c>
    </row>
    <row r="112" spans="1:12" x14ac:dyDescent="0.3">
      <c r="A112" s="26" t="s">
        <v>32</v>
      </c>
      <c r="B112" s="27" t="s">
        <v>53</v>
      </c>
      <c r="C112" s="27" t="s">
        <v>20</v>
      </c>
      <c r="D112" s="27" t="s">
        <v>15</v>
      </c>
      <c r="E112" s="27">
        <v>9</v>
      </c>
      <c r="F112" s="27">
        <v>0.1</v>
      </c>
      <c r="G112" s="28">
        <v>45736</v>
      </c>
      <c r="H112" s="27">
        <v>689.43</v>
      </c>
      <c r="I112" s="27">
        <v>310.24</v>
      </c>
      <c r="J112" s="29">
        <f t="shared" ca="1" si="7"/>
        <v>46097.457814583337</v>
      </c>
      <c r="K112" s="27">
        <f t="shared" si="8"/>
        <v>379.18999999999994</v>
      </c>
      <c r="L112" s="30">
        <f>H112*(1-F112)-K112</f>
        <v>241.29700000000003</v>
      </c>
    </row>
    <row r="113" spans="1:12" x14ac:dyDescent="0.3">
      <c r="A113" s="26" t="s">
        <v>52</v>
      </c>
      <c r="B113" s="27" t="s">
        <v>64</v>
      </c>
      <c r="C113" s="27" t="s">
        <v>24</v>
      </c>
      <c r="D113" s="27" t="s">
        <v>12</v>
      </c>
      <c r="E113" s="27">
        <v>8</v>
      </c>
      <c r="F113" s="27">
        <v>0.1</v>
      </c>
      <c r="G113" s="28">
        <v>45721</v>
      </c>
      <c r="H113" s="27">
        <v>710.52</v>
      </c>
      <c r="I113" s="27">
        <v>255.79</v>
      </c>
      <c r="J113" s="29">
        <f t="shared" ca="1" si="7"/>
        <v>46097.457814583337</v>
      </c>
      <c r="K113" s="27">
        <f t="shared" si="8"/>
        <v>454.73</v>
      </c>
      <c r="L113" s="30">
        <f>H113*(1-F113)-K113</f>
        <v>184.73799999999994</v>
      </c>
    </row>
    <row r="114" spans="1:12" x14ac:dyDescent="0.3">
      <c r="A114" s="26" t="s">
        <v>22</v>
      </c>
      <c r="B114" s="27" t="s">
        <v>53</v>
      </c>
      <c r="C114" s="27" t="s">
        <v>24</v>
      </c>
      <c r="D114" s="27" t="s">
        <v>12</v>
      </c>
      <c r="E114" s="27">
        <v>10</v>
      </c>
      <c r="F114" s="27">
        <v>0.15</v>
      </c>
      <c r="G114" s="28">
        <v>45743</v>
      </c>
      <c r="H114" s="27">
        <v>750.71</v>
      </c>
      <c r="I114" s="27">
        <v>255.24</v>
      </c>
      <c r="J114" s="29">
        <f t="shared" ca="1" si="7"/>
        <v>46097.457814583337</v>
      </c>
      <c r="K114" s="27">
        <f t="shared" si="8"/>
        <v>495.47</v>
      </c>
      <c r="L114" s="30">
        <f>H114*(1-F114)-K114</f>
        <v>142.63350000000003</v>
      </c>
    </row>
    <row r="115" spans="1:12" x14ac:dyDescent="0.3">
      <c r="A115" s="26" t="s">
        <v>25</v>
      </c>
      <c r="B115" s="27" t="s">
        <v>10</v>
      </c>
      <c r="C115" s="27" t="s">
        <v>20</v>
      </c>
      <c r="D115" s="27" t="s">
        <v>15</v>
      </c>
      <c r="E115" s="27">
        <v>9</v>
      </c>
      <c r="F115" s="27">
        <v>0</v>
      </c>
      <c r="G115" s="28">
        <v>45743</v>
      </c>
      <c r="H115" s="27">
        <v>762.14</v>
      </c>
      <c r="I115" s="27">
        <v>381.07</v>
      </c>
      <c r="J115" s="29">
        <f t="shared" ca="1" si="7"/>
        <v>46097.457814583337</v>
      </c>
      <c r="K115" s="27">
        <f t="shared" si="8"/>
        <v>381.07</v>
      </c>
      <c r="L115" s="30">
        <f>H115*(1-F115)-K115</f>
        <v>381.07</v>
      </c>
    </row>
    <row r="116" spans="1:12" x14ac:dyDescent="0.3">
      <c r="A116" s="26" t="s">
        <v>41</v>
      </c>
      <c r="B116" s="27" t="s">
        <v>55</v>
      </c>
      <c r="C116" s="27" t="s">
        <v>11</v>
      </c>
      <c r="D116" s="27" t="s">
        <v>15</v>
      </c>
      <c r="E116" s="27">
        <v>2</v>
      </c>
      <c r="F116" s="27">
        <v>0.05</v>
      </c>
      <c r="G116" s="28">
        <v>45727</v>
      </c>
      <c r="H116" s="27">
        <v>864.98</v>
      </c>
      <c r="I116" s="27">
        <v>410.87</v>
      </c>
      <c r="J116" s="29">
        <f t="shared" ca="1" si="7"/>
        <v>46097.457814583337</v>
      </c>
      <c r="K116" s="27">
        <f t="shared" si="8"/>
        <v>454.11</v>
      </c>
      <c r="L116" s="30">
        <f>H116*(1-F116)-K116</f>
        <v>367.62099999999998</v>
      </c>
    </row>
    <row r="117" spans="1:12" x14ac:dyDescent="0.3">
      <c r="A117" s="26" t="s">
        <v>37</v>
      </c>
      <c r="B117" s="27" t="s">
        <v>43</v>
      </c>
      <c r="C117" s="27" t="s">
        <v>11</v>
      </c>
      <c r="D117" s="27" t="s">
        <v>15</v>
      </c>
      <c r="E117" s="27">
        <v>8</v>
      </c>
      <c r="F117" s="27">
        <v>0.15</v>
      </c>
      <c r="G117" s="28">
        <v>45746</v>
      </c>
      <c r="H117" s="27">
        <v>934.27</v>
      </c>
      <c r="I117" s="27">
        <v>397.06</v>
      </c>
      <c r="J117" s="29">
        <f t="shared" ca="1" si="7"/>
        <v>46097.457814583337</v>
      </c>
      <c r="K117" s="27">
        <f t="shared" si="8"/>
        <v>537.21</v>
      </c>
      <c r="L117" s="30">
        <f>H117*(1-F117)-K117</f>
        <v>256.91949999999997</v>
      </c>
    </row>
    <row r="118" spans="1:12" x14ac:dyDescent="0.3">
      <c r="A118" s="26" t="s">
        <v>57</v>
      </c>
      <c r="B118" s="27" t="s">
        <v>55</v>
      </c>
      <c r="C118" s="27" t="s">
        <v>11</v>
      </c>
      <c r="D118" s="27" t="s">
        <v>27</v>
      </c>
      <c r="E118" s="27">
        <v>14</v>
      </c>
      <c r="F118" s="27">
        <v>0.2</v>
      </c>
      <c r="G118" s="28">
        <v>45733</v>
      </c>
      <c r="H118" s="27">
        <v>984.93</v>
      </c>
      <c r="I118" s="27">
        <v>275.77999999999997</v>
      </c>
      <c r="J118" s="29">
        <f t="shared" ca="1" si="7"/>
        <v>46097.457814583337</v>
      </c>
      <c r="K118" s="27">
        <f t="shared" si="8"/>
        <v>709.15</v>
      </c>
      <c r="L118" s="30">
        <f>H118*(1-F118)-K118</f>
        <v>78.793999999999983</v>
      </c>
    </row>
    <row r="119" spans="1:12" x14ac:dyDescent="0.3">
      <c r="A119" s="26" t="s">
        <v>16</v>
      </c>
      <c r="B119" s="27" t="s">
        <v>31</v>
      </c>
      <c r="C119" s="27" t="s">
        <v>34</v>
      </c>
      <c r="D119" s="27" t="s">
        <v>15</v>
      </c>
      <c r="E119" s="27">
        <v>8</v>
      </c>
      <c r="F119" s="27">
        <v>0.1</v>
      </c>
      <c r="G119" s="28">
        <v>45717</v>
      </c>
      <c r="H119" s="27">
        <v>1022.23</v>
      </c>
      <c r="I119" s="27">
        <v>460</v>
      </c>
      <c r="J119" s="29">
        <f t="shared" ca="1" si="7"/>
        <v>46097.457814583337</v>
      </c>
      <c r="K119" s="27">
        <f t="shared" si="8"/>
        <v>562.23</v>
      </c>
      <c r="L119" s="30">
        <f>H119*(1-F119)-K119</f>
        <v>357.77700000000004</v>
      </c>
    </row>
    <row r="120" spans="1:12" x14ac:dyDescent="0.3">
      <c r="A120" s="26" t="s">
        <v>37</v>
      </c>
      <c r="B120" s="27" t="s">
        <v>38</v>
      </c>
      <c r="C120" s="27" t="s">
        <v>20</v>
      </c>
      <c r="D120" s="27" t="s">
        <v>12</v>
      </c>
      <c r="E120" s="27">
        <v>18</v>
      </c>
      <c r="F120" s="27">
        <v>0.05</v>
      </c>
      <c r="G120" s="28">
        <v>45725</v>
      </c>
      <c r="H120" s="27">
        <v>1064.19</v>
      </c>
      <c r="I120" s="27">
        <v>404.39</v>
      </c>
      <c r="J120" s="29">
        <f t="shared" ca="1" si="7"/>
        <v>46097.457814583337</v>
      </c>
      <c r="K120" s="27">
        <f t="shared" si="8"/>
        <v>659.80000000000007</v>
      </c>
      <c r="L120" s="30">
        <f>H120*(1-F120)-K120</f>
        <v>351.18049999999994</v>
      </c>
    </row>
    <row r="121" spans="1:12" x14ac:dyDescent="0.3">
      <c r="A121" s="26" t="s">
        <v>44</v>
      </c>
      <c r="B121" s="27" t="s">
        <v>61</v>
      </c>
      <c r="C121" s="27" t="s">
        <v>18</v>
      </c>
      <c r="D121" s="27" t="s">
        <v>27</v>
      </c>
      <c r="E121" s="27">
        <v>17</v>
      </c>
      <c r="F121" s="27">
        <v>0.1</v>
      </c>
      <c r="G121" s="28">
        <v>45745</v>
      </c>
      <c r="H121" s="27">
        <v>1093.3800000000001</v>
      </c>
      <c r="I121" s="27">
        <v>344.41</v>
      </c>
      <c r="J121" s="29">
        <f t="shared" ca="1" si="7"/>
        <v>46097.457814583337</v>
      </c>
      <c r="K121" s="27">
        <f t="shared" si="8"/>
        <v>748.97</v>
      </c>
      <c r="L121" s="30">
        <f>H121*(1-F121)-K121</f>
        <v>235.07200000000012</v>
      </c>
    </row>
    <row r="122" spans="1:12" x14ac:dyDescent="0.3">
      <c r="A122" s="26" t="s">
        <v>72</v>
      </c>
      <c r="B122" s="27" t="s">
        <v>29</v>
      </c>
      <c r="C122" s="27" t="s">
        <v>18</v>
      </c>
      <c r="D122" s="27" t="s">
        <v>12</v>
      </c>
      <c r="E122" s="27">
        <v>6</v>
      </c>
      <c r="F122" s="27">
        <v>0</v>
      </c>
      <c r="G122" s="28">
        <v>45718</v>
      </c>
      <c r="H122" s="27">
        <v>1099.69</v>
      </c>
      <c r="I122" s="27">
        <v>439.88</v>
      </c>
      <c r="J122" s="29">
        <f t="shared" ca="1" si="7"/>
        <v>46097.457814583337</v>
      </c>
      <c r="K122" s="27">
        <f t="shared" si="8"/>
        <v>659.81000000000006</v>
      </c>
      <c r="L122" s="30">
        <f>H122*(1-F122)-K122</f>
        <v>439.88</v>
      </c>
    </row>
    <row r="123" spans="1:12" x14ac:dyDescent="0.3">
      <c r="A123" s="26" t="s">
        <v>32</v>
      </c>
      <c r="B123" s="27" t="s">
        <v>26</v>
      </c>
      <c r="C123" s="27" t="s">
        <v>20</v>
      </c>
      <c r="D123" s="27" t="s">
        <v>27</v>
      </c>
      <c r="E123" s="27">
        <v>11</v>
      </c>
      <c r="F123" s="27">
        <v>0.2</v>
      </c>
      <c r="G123" s="28">
        <v>45742</v>
      </c>
      <c r="H123" s="27">
        <v>1184.25</v>
      </c>
      <c r="I123" s="27">
        <v>331.59</v>
      </c>
      <c r="J123" s="29">
        <f t="shared" ca="1" si="7"/>
        <v>46097.457814583337</v>
      </c>
      <c r="K123" s="27">
        <f t="shared" si="8"/>
        <v>852.66000000000008</v>
      </c>
      <c r="L123" s="30">
        <f>H123*(1-F123)-K123</f>
        <v>94.740000000000009</v>
      </c>
    </row>
    <row r="124" spans="1:12" x14ac:dyDescent="0.3">
      <c r="A124" s="26" t="s">
        <v>75</v>
      </c>
      <c r="B124" s="27" t="s">
        <v>71</v>
      </c>
      <c r="C124" s="27" t="s">
        <v>34</v>
      </c>
      <c r="D124" s="27" t="s">
        <v>15</v>
      </c>
      <c r="E124" s="27">
        <v>14</v>
      </c>
      <c r="F124" s="27">
        <v>0.05</v>
      </c>
      <c r="G124" s="28">
        <v>45745</v>
      </c>
      <c r="H124" s="27">
        <v>1456.94</v>
      </c>
      <c r="I124" s="27">
        <v>692.05</v>
      </c>
      <c r="J124" s="29">
        <f t="shared" ca="1" si="7"/>
        <v>46097.457814583337</v>
      </c>
      <c r="K124" s="27">
        <f t="shared" si="8"/>
        <v>764.8900000000001</v>
      </c>
      <c r="L124" s="30">
        <f>H124*(1-F124)-K124</f>
        <v>619.20299999999997</v>
      </c>
    </row>
    <row r="125" spans="1:12" x14ac:dyDescent="0.3">
      <c r="A125" s="26" t="s">
        <v>70</v>
      </c>
      <c r="B125" s="27" t="s">
        <v>36</v>
      </c>
      <c r="C125" s="27" t="s">
        <v>34</v>
      </c>
      <c r="D125" s="27" t="s">
        <v>15</v>
      </c>
      <c r="E125" s="27">
        <v>8</v>
      </c>
      <c r="F125" s="27">
        <v>0.2</v>
      </c>
      <c r="G125" s="28">
        <v>45746</v>
      </c>
      <c r="H125" s="27">
        <v>1465.35</v>
      </c>
      <c r="I125" s="27">
        <v>586.14</v>
      </c>
      <c r="J125" s="29">
        <f t="shared" ca="1" si="7"/>
        <v>46097.457814583337</v>
      </c>
      <c r="K125" s="27">
        <f t="shared" si="8"/>
        <v>879.20999999999992</v>
      </c>
      <c r="L125" s="30">
        <f>H125*(1-F125)-K125</f>
        <v>293.07000000000005</v>
      </c>
    </row>
    <row r="126" spans="1:12" x14ac:dyDescent="0.3">
      <c r="A126" s="26" t="s">
        <v>25</v>
      </c>
      <c r="B126" s="27" t="s">
        <v>55</v>
      </c>
      <c r="C126" s="27" t="s">
        <v>11</v>
      </c>
      <c r="D126" s="27" t="s">
        <v>15</v>
      </c>
      <c r="E126" s="27">
        <v>18</v>
      </c>
      <c r="F126" s="27">
        <v>0</v>
      </c>
      <c r="G126" s="28">
        <v>45734</v>
      </c>
      <c r="H126" s="27">
        <v>1493.49</v>
      </c>
      <c r="I126" s="27">
        <v>746.74</v>
      </c>
      <c r="J126" s="29">
        <f t="shared" ca="1" si="7"/>
        <v>46097.457814583337</v>
      </c>
      <c r="K126" s="27">
        <f t="shared" si="8"/>
        <v>746.75</v>
      </c>
      <c r="L126" s="30">
        <f>H126*(1-F126)-K126</f>
        <v>746.74</v>
      </c>
    </row>
    <row r="127" spans="1:12" x14ac:dyDescent="0.3">
      <c r="A127" s="26" t="s">
        <v>49</v>
      </c>
      <c r="B127" s="27" t="s">
        <v>14</v>
      </c>
      <c r="C127" s="27" t="s">
        <v>24</v>
      </c>
      <c r="D127" s="27" t="s">
        <v>21</v>
      </c>
      <c r="E127" s="27">
        <v>14</v>
      </c>
      <c r="F127" s="27">
        <v>0.15</v>
      </c>
      <c r="G127" s="28">
        <v>45416</v>
      </c>
      <c r="H127" s="27">
        <v>388.56</v>
      </c>
      <c r="I127" s="27">
        <v>82.57</v>
      </c>
      <c r="J127" s="29">
        <f t="shared" ca="1" si="7"/>
        <v>46097.457814583337</v>
      </c>
      <c r="K127" s="27">
        <f t="shared" si="8"/>
        <v>305.99</v>
      </c>
      <c r="L127" s="30">
        <f>H127*(1-F127)-K127</f>
        <v>24.286000000000001</v>
      </c>
    </row>
    <row r="128" spans="1:12" x14ac:dyDescent="0.3">
      <c r="A128" s="26" t="s">
        <v>13</v>
      </c>
      <c r="B128" s="27" t="s">
        <v>26</v>
      </c>
      <c r="C128" s="27" t="s">
        <v>11</v>
      </c>
      <c r="D128" s="27" t="s">
        <v>12</v>
      </c>
      <c r="E128" s="27">
        <v>12</v>
      </c>
      <c r="F128" s="27">
        <v>0.2</v>
      </c>
      <c r="G128" s="28">
        <v>45429</v>
      </c>
      <c r="H128" s="27">
        <v>472.38</v>
      </c>
      <c r="I128" s="27">
        <v>151.16</v>
      </c>
      <c r="J128" s="29">
        <f t="shared" ca="1" si="7"/>
        <v>46097.457814583337</v>
      </c>
      <c r="K128" s="27">
        <f t="shared" si="8"/>
        <v>321.22000000000003</v>
      </c>
      <c r="L128" s="30">
        <f>H128*(1-F128)-K128</f>
        <v>56.683999999999969</v>
      </c>
    </row>
    <row r="129" spans="1:12" x14ac:dyDescent="0.3">
      <c r="A129" s="26" t="s">
        <v>60</v>
      </c>
      <c r="B129" s="27" t="s">
        <v>61</v>
      </c>
      <c r="C129" s="27" t="s">
        <v>18</v>
      </c>
      <c r="D129" s="27" t="s">
        <v>12</v>
      </c>
      <c r="E129" s="27">
        <v>19</v>
      </c>
      <c r="F129" s="27">
        <v>0.15</v>
      </c>
      <c r="G129" s="28">
        <v>45435</v>
      </c>
      <c r="H129" s="27">
        <v>580.42999999999995</v>
      </c>
      <c r="I129" s="27">
        <v>197.35</v>
      </c>
      <c r="J129" s="29">
        <f t="shared" ca="1" si="7"/>
        <v>46097.457814583337</v>
      </c>
      <c r="K129" s="27">
        <f t="shared" si="8"/>
        <v>383.07999999999993</v>
      </c>
      <c r="L129" s="30">
        <f>H129*(1-F129)-K129</f>
        <v>110.28550000000001</v>
      </c>
    </row>
    <row r="130" spans="1:12" x14ac:dyDescent="0.3">
      <c r="A130" s="26" t="s">
        <v>30</v>
      </c>
      <c r="B130" s="27" t="s">
        <v>31</v>
      </c>
      <c r="C130" s="27" t="s">
        <v>34</v>
      </c>
      <c r="D130" s="27" t="s">
        <v>21</v>
      </c>
      <c r="E130" s="27">
        <v>4</v>
      </c>
      <c r="F130" s="27">
        <v>0</v>
      </c>
      <c r="G130" s="28">
        <v>45414</v>
      </c>
      <c r="H130" s="27">
        <v>645.02</v>
      </c>
      <c r="I130" s="27">
        <v>161.26</v>
      </c>
      <c r="J130" s="29">
        <f t="shared" ref="J130:J161" ca="1" si="9">NOW()</f>
        <v>46097.457814583337</v>
      </c>
      <c r="K130" s="27">
        <f t="shared" ref="K130:K161" si="10">H130-I130</f>
        <v>483.76</v>
      </c>
      <c r="L130" s="30">
        <f>H130*(1-F130)-K130</f>
        <v>161.26</v>
      </c>
    </row>
    <row r="131" spans="1:12" x14ac:dyDescent="0.3">
      <c r="A131" s="26" t="s">
        <v>22</v>
      </c>
      <c r="B131" s="27" t="s">
        <v>51</v>
      </c>
      <c r="C131" s="27" t="s">
        <v>24</v>
      </c>
      <c r="D131" s="27" t="s">
        <v>27</v>
      </c>
      <c r="E131" s="27">
        <v>17</v>
      </c>
      <c r="F131" s="27">
        <v>0</v>
      </c>
      <c r="G131" s="28">
        <v>45420</v>
      </c>
      <c r="H131" s="27">
        <v>675.54</v>
      </c>
      <c r="I131" s="27">
        <v>236.44</v>
      </c>
      <c r="J131" s="29">
        <f t="shared" ca="1" si="9"/>
        <v>46097.457814583337</v>
      </c>
      <c r="K131" s="27">
        <f t="shared" si="10"/>
        <v>439.09999999999997</v>
      </c>
      <c r="L131" s="30">
        <f>H131*(1-F131)-K131</f>
        <v>236.44</v>
      </c>
    </row>
    <row r="132" spans="1:12" x14ac:dyDescent="0.3">
      <c r="A132" s="26" t="s">
        <v>40</v>
      </c>
      <c r="B132" s="27" t="s">
        <v>31</v>
      </c>
      <c r="C132" s="27" t="s">
        <v>34</v>
      </c>
      <c r="D132" s="27" t="s">
        <v>21</v>
      </c>
      <c r="E132" s="27">
        <v>6</v>
      </c>
      <c r="F132" s="27">
        <v>0</v>
      </c>
      <c r="G132" s="28">
        <v>45416</v>
      </c>
      <c r="H132" s="27">
        <v>706.37</v>
      </c>
      <c r="I132" s="27">
        <v>176.59</v>
      </c>
      <c r="J132" s="29">
        <f t="shared" ca="1" si="9"/>
        <v>46097.457814583337</v>
      </c>
      <c r="K132" s="27">
        <f t="shared" si="10"/>
        <v>529.78</v>
      </c>
      <c r="L132" s="30">
        <f>H132*(1-F132)-K132</f>
        <v>176.59000000000003</v>
      </c>
    </row>
    <row r="133" spans="1:12" x14ac:dyDescent="0.3">
      <c r="A133" s="26" t="s">
        <v>9</v>
      </c>
      <c r="B133" s="27" t="s">
        <v>31</v>
      </c>
      <c r="C133" s="27" t="s">
        <v>11</v>
      </c>
      <c r="D133" s="27" t="s">
        <v>12</v>
      </c>
      <c r="E133" s="27">
        <v>9</v>
      </c>
      <c r="F133" s="27">
        <v>0</v>
      </c>
      <c r="G133" s="28">
        <v>45416</v>
      </c>
      <c r="H133" s="27">
        <v>743.17</v>
      </c>
      <c r="I133" s="27">
        <v>297.27</v>
      </c>
      <c r="J133" s="29">
        <f t="shared" ca="1" si="9"/>
        <v>46097.457814583337</v>
      </c>
      <c r="K133" s="27">
        <f t="shared" si="10"/>
        <v>445.9</v>
      </c>
      <c r="L133" s="30">
        <f>H133*(1-F133)-K133</f>
        <v>297.27</v>
      </c>
    </row>
    <row r="134" spans="1:12" x14ac:dyDescent="0.3">
      <c r="A134" s="26" t="s">
        <v>44</v>
      </c>
      <c r="B134" s="27" t="s">
        <v>59</v>
      </c>
      <c r="C134" s="27" t="s">
        <v>34</v>
      </c>
      <c r="D134" s="27" t="s">
        <v>27</v>
      </c>
      <c r="E134" s="27">
        <v>13</v>
      </c>
      <c r="F134" s="27">
        <v>0.15</v>
      </c>
      <c r="G134" s="28">
        <v>45434</v>
      </c>
      <c r="H134" s="27">
        <v>773.09</v>
      </c>
      <c r="I134" s="27">
        <v>229.99</v>
      </c>
      <c r="J134" s="29">
        <f t="shared" ca="1" si="9"/>
        <v>46097.457814583337</v>
      </c>
      <c r="K134" s="27">
        <f t="shared" si="10"/>
        <v>543.1</v>
      </c>
      <c r="L134" s="30">
        <f>H134*(1-F134)-K134</f>
        <v>114.02649999999994</v>
      </c>
    </row>
    <row r="135" spans="1:12" x14ac:dyDescent="0.3">
      <c r="A135" s="26" t="s">
        <v>52</v>
      </c>
      <c r="B135" s="27" t="s">
        <v>23</v>
      </c>
      <c r="C135" s="27" t="s">
        <v>20</v>
      </c>
      <c r="D135" s="27" t="s">
        <v>21</v>
      </c>
      <c r="E135" s="27">
        <v>3</v>
      </c>
      <c r="F135" s="27">
        <v>0.2</v>
      </c>
      <c r="G135" s="28">
        <v>45426</v>
      </c>
      <c r="H135" s="27">
        <v>801.21</v>
      </c>
      <c r="I135" s="27">
        <v>160.24</v>
      </c>
      <c r="J135" s="29">
        <f t="shared" ca="1" si="9"/>
        <v>46097.457814583337</v>
      </c>
      <c r="K135" s="27">
        <f t="shared" si="10"/>
        <v>640.97</v>
      </c>
      <c r="L135" s="30">
        <f>H135*(1-F135)-K135</f>
        <v>-1.9999999999527063E-3</v>
      </c>
    </row>
    <row r="136" spans="1:12" x14ac:dyDescent="0.3">
      <c r="A136" s="26" t="s">
        <v>9</v>
      </c>
      <c r="B136" s="27" t="s">
        <v>55</v>
      </c>
      <c r="C136" s="27" t="s">
        <v>18</v>
      </c>
      <c r="D136" s="27" t="s">
        <v>39</v>
      </c>
      <c r="E136" s="27">
        <v>9</v>
      </c>
      <c r="F136" s="27">
        <v>0.05</v>
      </c>
      <c r="G136" s="28">
        <v>45429</v>
      </c>
      <c r="H136" s="27">
        <v>840.92</v>
      </c>
      <c r="I136" s="27">
        <v>359.49</v>
      </c>
      <c r="J136" s="29">
        <f t="shared" ca="1" si="9"/>
        <v>46097.457814583337</v>
      </c>
      <c r="K136" s="27">
        <f t="shared" si="10"/>
        <v>481.42999999999995</v>
      </c>
      <c r="L136" s="30">
        <f>H136*(1-F136)-K136</f>
        <v>317.44399999999996</v>
      </c>
    </row>
    <row r="137" spans="1:12" x14ac:dyDescent="0.3">
      <c r="A137" s="26" t="s">
        <v>28</v>
      </c>
      <c r="B137" s="27" t="s">
        <v>47</v>
      </c>
      <c r="C137" s="27" t="s">
        <v>11</v>
      </c>
      <c r="D137" s="27" t="s">
        <v>27</v>
      </c>
      <c r="E137" s="27">
        <v>5</v>
      </c>
      <c r="F137" s="27">
        <v>0.15</v>
      </c>
      <c r="G137" s="28">
        <v>45428</v>
      </c>
      <c r="H137" s="27">
        <v>853.72</v>
      </c>
      <c r="I137" s="27">
        <v>253.98</v>
      </c>
      <c r="J137" s="29">
        <f t="shared" ca="1" si="9"/>
        <v>46097.457814583337</v>
      </c>
      <c r="K137" s="27">
        <f t="shared" si="10"/>
        <v>599.74</v>
      </c>
      <c r="L137" s="30">
        <f>H137*(1-F137)-K137</f>
        <v>125.92200000000003</v>
      </c>
    </row>
    <row r="138" spans="1:12" x14ac:dyDescent="0.3">
      <c r="A138" s="26" t="s">
        <v>13</v>
      </c>
      <c r="B138" s="27" t="s">
        <v>31</v>
      </c>
      <c r="C138" s="27" t="s">
        <v>34</v>
      </c>
      <c r="D138" s="27" t="s">
        <v>39</v>
      </c>
      <c r="E138" s="27">
        <v>8</v>
      </c>
      <c r="F138" s="27">
        <v>0.1</v>
      </c>
      <c r="G138" s="28">
        <v>45418</v>
      </c>
      <c r="H138" s="27">
        <v>925.31</v>
      </c>
      <c r="I138" s="27">
        <v>374.75</v>
      </c>
      <c r="J138" s="29">
        <f t="shared" ca="1" si="9"/>
        <v>46097.457814583337</v>
      </c>
      <c r="K138" s="27">
        <f t="shared" si="10"/>
        <v>550.55999999999995</v>
      </c>
      <c r="L138" s="30">
        <f>H138*(1-F138)-K138</f>
        <v>282.21900000000005</v>
      </c>
    </row>
    <row r="139" spans="1:12" x14ac:dyDescent="0.3">
      <c r="A139" s="26" t="s">
        <v>25</v>
      </c>
      <c r="B139" s="27" t="s">
        <v>14</v>
      </c>
      <c r="C139" s="27" t="s">
        <v>34</v>
      </c>
      <c r="D139" s="27" t="s">
        <v>12</v>
      </c>
      <c r="E139" s="27">
        <v>2</v>
      </c>
      <c r="F139" s="27">
        <v>0.05</v>
      </c>
      <c r="G139" s="28">
        <v>45422</v>
      </c>
      <c r="H139" s="27">
        <v>939.09</v>
      </c>
      <c r="I139" s="27">
        <v>356.85</v>
      </c>
      <c r="J139" s="29">
        <f t="shared" ca="1" si="9"/>
        <v>46097.457814583337</v>
      </c>
      <c r="K139" s="27">
        <f t="shared" si="10"/>
        <v>582.24</v>
      </c>
      <c r="L139" s="30">
        <f>H139*(1-F139)-K139</f>
        <v>309.89549999999997</v>
      </c>
    </row>
    <row r="140" spans="1:12" x14ac:dyDescent="0.3">
      <c r="A140" s="26" t="s">
        <v>25</v>
      </c>
      <c r="B140" s="27" t="s">
        <v>48</v>
      </c>
      <c r="C140" s="27" t="s">
        <v>20</v>
      </c>
      <c r="D140" s="27" t="s">
        <v>15</v>
      </c>
      <c r="E140" s="27">
        <v>11</v>
      </c>
      <c r="F140" s="27">
        <v>0</v>
      </c>
      <c r="G140" s="28">
        <v>45415</v>
      </c>
      <c r="H140" s="27">
        <v>953.3</v>
      </c>
      <c r="I140" s="27">
        <v>476.65</v>
      </c>
      <c r="J140" s="29">
        <f t="shared" ca="1" si="9"/>
        <v>46097.457814583337</v>
      </c>
      <c r="K140" s="27">
        <f t="shared" si="10"/>
        <v>476.65</v>
      </c>
      <c r="L140" s="30">
        <f>H140*(1-F140)-K140</f>
        <v>476.65</v>
      </c>
    </row>
    <row r="141" spans="1:12" x14ac:dyDescent="0.3">
      <c r="A141" s="26" t="s">
        <v>57</v>
      </c>
      <c r="B141" s="27" t="s">
        <v>43</v>
      </c>
      <c r="C141" s="27" t="s">
        <v>20</v>
      </c>
      <c r="D141" s="27" t="s">
        <v>21</v>
      </c>
      <c r="E141" s="27">
        <v>10</v>
      </c>
      <c r="F141" s="27">
        <v>0.1</v>
      </c>
      <c r="G141" s="28">
        <v>45429</v>
      </c>
      <c r="H141" s="27">
        <v>967.89</v>
      </c>
      <c r="I141" s="27">
        <v>217.78</v>
      </c>
      <c r="J141" s="29">
        <f t="shared" ca="1" si="9"/>
        <v>46097.457814583337</v>
      </c>
      <c r="K141" s="27">
        <f t="shared" si="10"/>
        <v>750.11</v>
      </c>
      <c r="L141" s="30">
        <f>H141*(1-F141)-K141</f>
        <v>120.99099999999999</v>
      </c>
    </row>
    <row r="142" spans="1:12" x14ac:dyDescent="0.3">
      <c r="A142" s="26" t="s">
        <v>52</v>
      </c>
      <c r="B142" s="27" t="s">
        <v>53</v>
      </c>
      <c r="C142" s="27" t="s">
        <v>18</v>
      </c>
      <c r="D142" s="27" t="s">
        <v>39</v>
      </c>
      <c r="E142" s="27">
        <v>19</v>
      </c>
      <c r="F142" s="27">
        <v>0.1</v>
      </c>
      <c r="G142" s="28">
        <v>45426</v>
      </c>
      <c r="H142" s="27">
        <v>983.34</v>
      </c>
      <c r="I142" s="27">
        <v>398.25</v>
      </c>
      <c r="J142" s="29">
        <f t="shared" ca="1" si="9"/>
        <v>46097.457814583337</v>
      </c>
      <c r="K142" s="27">
        <f t="shared" si="10"/>
        <v>585.09</v>
      </c>
      <c r="L142" s="30">
        <f>H142*(1-F142)-K142</f>
        <v>299.91600000000005</v>
      </c>
    </row>
    <row r="143" spans="1:12" x14ac:dyDescent="0.3">
      <c r="A143" s="26" t="s">
        <v>49</v>
      </c>
      <c r="B143" s="27" t="s">
        <v>56</v>
      </c>
      <c r="C143" s="27" t="s">
        <v>34</v>
      </c>
      <c r="D143" s="27" t="s">
        <v>12</v>
      </c>
      <c r="E143" s="27">
        <v>18</v>
      </c>
      <c r="F143" s="27">
        <v>0.05</v>
      </c>
      <c r="G143" s="28">
        <v>45428</v>
      </c>
      <c r="H143" s="27">
        <v>1023.21</v>
      </c>
      <c r="I143" s="27">
        <v>388.82</v>
      </c>
      <c r="J143" s="29">
        <f t="shared" ca="1" si="9"/>
        <v>46097.457814583337</v>
      </c>
      <c r="K143" s="27">
        <f t="shared" si="10"/>
        <v>634.3900000000001</v>
      </c>
      <c r="L143" s="30">
        <f>H143*(1-F143)-K143</f>
        <v>337.65949999999987</v>
      </c>
    </row>
    <row r="144" spans="1:12" x14ac:dyDescent="0.3">
      <c r="A144" s="26" t="s">
        <v>35</v>
      </c>
      <c r="B144" s="27" t="s">
        <v>50</v>
      </c>
      <c r="C144" s="27" t="s">
        <v>20</v>
      </c>
      <c r="D144" s="27" t="s">
        <v>21</v>
      </c>
      <c r="E144" s="27">
        <v>18</v>
      </c>
      <c r="F144" s="27">
        <v>0</v>
      </c>
      <c r="G144" s="28">
        <v>45418</v>
      </c>
      <c r="H144" s="27">
        <v>1173.1199999999999</v>
      </c>
      <c r="I144" s="27">
        <v>293.27999999999997</v>
      </c>
      <c r="J144" s="29">
        <f t="shared" ca="1" si="9"/>
        <v>46097.457814583337</v>
      </c>
      <c r="K144" s="27">
        <f t="shared" si="10"/>
        <v>879.83999999999992</v>
      </c>
      <c r="L144" s="30">
        <f>H144*(1-F144)-K144</f>
        <v>293.27999999999997</v>
      </c>
    </row>
    <row r="145" spans="1:12" x14ac:dyDescent="0.3">
      <c r="A145" s="26" t="s">
        <v>58</v>
      </c>
      <c r="B145" s="27" t="s">
        <v>53</v>
      </c>
      <c r="C145" s="27" t="s">
        <v>24</v>
      </c>
      <c r="D145" s="27" t="s">
        <v>39</v>
      </c>
      <c r="E145" s="27">
        <v>14</v>
      </c>
      <c r="F145" s="27">
        <v>0.05</v>
      </c>
      <c r="G145" s="28">
        <v>45429</v>
      </c>
      <c r="H145" s="27">
        <v>1200.9000000000001</v>
      </c>
      <c r="I145" s="27">
        <v>513.38</v>
      </c>
      <c r="J145" s="29">
        <f t="shared" ca="1" si="9"/>
        <v>46097.457814583337</v>
      </c>
      <c r="K145" s="27">
        <f t="shared" si="10"/>
        <v>687.5200000000001</v>
      </c>
      <c r="L145" s="30">
        <f>H145*(1-F145)-K145</f>
        <v>453.33499999999992</v>
      </c>
    </row>
    <row r="146" spans="1:12" x14ac:dyDescent="0.3">
      <c r="A146" s="26" t="s">
        <v>52</v>
      </c>
      <c r="B146" s="27" t="s">
        <v>48</v>
      </c>
      <c r="C146" s="27" t="s">
        <v>34</v>
      </c>
      <c r="D146" s="27" t="s">
        <v>27</v>
      </c>
      <c r="E146" s="27">
        <v>11</v>
      </c>
      <c r="F146" s="27">
        <v>0.05</v>
      </c>
      <c r="G146" s="28">
        <v>45434</v>
      </c>
      <c r="H146" s="27">
        <v>1410.06</v>
      </c>
      <c r="I146" s="27">
        <v>468.84</v>
      </c>
      <c r="J146" s="29">
        <f t="shared" ca="1" si="9"/>
        <v>46097.457814583337</v>
      </c>
      <c r="K146" s="27">
        <f t="shared" si="10"/>
        <v>941.22</v>
      </c>
      <c r="L146" s="30">
        <f>H146*(1-F146)-K146</f>
        <v>398.33699999999976</v>
      </c>
    </row>
    <row r="147" spans="1:12" x14ac:dyDescent="0.3">
      <c r="A147" s="26" t="s">
        <v>54</v>
      </c>
      <c r="B147" s="27" t="s">
        <v>55</v>
      </c>
      <c r="C147" s="27" t="s">
        <v>24</v>
      </c>
      <c r="D147" s="27" t="s">
        <v>21</v>
      </c>
      <c r="E147" s="27">
        <v>5</v>
      </c>
      <c r="F147" s="27">
        <v>0.1</v>
      </c>
      <c r="G147" s="28">
        <v>45427</v>
      </c>
      <c r="H147" s="27">
        <v>1450.71</v>
      </c>
      <c r="I147" s="27">
        <v>326.41000000000003</v>
      </c>
      <c r="J147" s="29">
        <f t="shared" ca="1" si="9"/>
        <v>46097.457814583337</v>
      </c>
      <c r="K147" s="27">
        <f t="shared" si="10"/>
        <v>1124.3</v>
      </c>
      <c r="L147" s="30">
        <f>H147*(1-F147)-K147</f>
        <v>181.33900000000017</v>
      </c>
    </row>
    <row r="148" spans="1:12" x14ac:dyDescent="0.3">
      <c r="A148" s="26" t="s">
        <v>74</v>
      </c>
      <c r="B148" s="27" t="s">
        <v>23</v>
      </c>
      <c r="C148" s="27" t="s">
        <v>11</v>
      </c>
      <c r="D148" s="27" t="s">
        <v>21</v>
      </c>
      <c r="E148" s="27">
        <v>19</v>
      </c>
      <c r="F148" s="27">
        <v>0</v>
      </c>
      <c r="G148" s="28">
        <v>45616</v>
      </c>
      <c r="H148" s="27">
        <v>258.51</v>
      </c>
      <c r="I148" s="27">
        <v>64.63</v>
      </c>
      <c r="J148" s="29">
        <f t="shared" ca="1" si="9"/>
        <v>46097.457814583337</v>
      </c>
      <c r="K148" s="27">
        <f t="shared" si="10"/>
        <v>193.88</v>
      </c>
      <c r="L148" s="30">
        <f>H148*(1-F148)-K148</f>
        <v>64.63</v>
      </c>
    </row>
    <row r="149" spans="1:12" x14ac:dyDescent="0.3">
      <c r="A149" s="26" t="s">
        <v>70</v>
      </c>
      <c r="B149" s="27" t="s">
        <v>23</v>
      </c>
      <c r="C149" s="27" t="s">
        <v>24</v>
      </c>
      <c r="D149" s="27" t="s">
        <v>21</v>
      </c>
      <c r="E149" s="27">
        <v>1</v>
      </c>
      <c r="F149" s="27">
        <v>0.15</v>
      </c>
      <c r="G149" s="28">
        <v>45613</v>
      </c>
      <c r="H149" s="27">
        <v>706.73</v>
      </c>
      <c r="I149" s="27">
        <v>150.18</v>
      </c>
      <c r="J149" s="29">
        <f t="shared" ca="1" si="9"/>
        <v>46097.457814583337</v>
      </c>
      <c r="K149" s="27">
        <f t="shared" si="10"/>
        <v>556.54999999999995</v>
      </c>
      <c r="L149" s="30">
        <f>H149*(1-F149)-K149</f>
        <v>44.170500000000061</v>
      </c>
    </row>
    <row r="150" spans="1:12" x14ac:dyDescent="0.3">
      <c r="A150" s="26" t="s">
        <v>9</v>
      </c>
      <c r="B150" s="27" t="s">
        <v>17</v>
      </c>
      <c r="C150" s="27" t="s">
        <v>20</v>
      </c>
      <c r="D150" s="27" t="s">
        <v>21</v>
      </c>
      <c r="E150" s="27">
        <v>14</v>
      </c>
      <c r="F150" s="27">
        <v>0</v>
      </c>
      <c r="G150" s="28">
        <v>45613</v>
      </c>
      <c r="H150" s="27">
        <v>718.04</v>
      </c>
      <c r="I150" s="27">
        <v>179.51</v>
      </c>
      <c r="J150" s="29">
        <f t="shared" ca="1" si="9"/>
        <v>46097.457814583337</v>
      </c>
      <c r="K150" s="27">
        <f t="shared" si="10"/>
        <v>538.53</v>
      </c>
      <c r="L150" s="30">
        <f>H150*(1-F150)-K150</f>
        <v>179.51</v>
      </c>
    </row>
    <row r="151" spans="1:12" x14ac:dyDescent="0.3">
      <c r="A151" s="26" t="s">
        <v>25</v>
      </c>
      <c r="B151" s="27" t="s">
        <v>38</v>
      </c>
      <c r="C151" s="27" t="s">
        <v>24</v>
      </c>
      <c r="D151" s="27" t="s">
        <v>39</v>
      </c>
      <c r="E151" s="27">
        <v>3</v>
      </c>
      <c r="F151" s="27">
        <v>0.05</v>
      </c>
      <c r="G151" s="28">
        <v>45626</v>
      </c>
      <c r="H151" s="27">
        <v>833.91</v>
      </c>
      <c r="I151" s="27">
        <v>356.5</v>
      </c>
      <c r="J151" s="29">
        <f t="shared" ca="1" si="9"/>
        <v>46097.457814583337</v>
      </c>
      <c r="K151" s="27">
        <f t="shared" si="10"/>
        <v>477.40999999999997</v>
      </c>
      <c r="L151" s="30">
        <f>H151*(1-F151)-K151</f>
        <v>314.80449999999996</v>
      </c>
    </row>
    <row r="152" spans="1:12" x14ac:dyDescent="0.3">
      <c r="A152" s="26" t="s">
        <v>37</v>
      </c>
      <c r="B152" s="27" t="s">
        <v>71</v>
      </c>
      <c r="C152" s="27" t="s">
        <v>20</v>
      </c>
      <c r="D152" s="27" t="s">
        <v>27</v>
      </c>
      <c r="E152" s="27">
        <v>8</v>
      </c>
      <c r="F152" s="27">
        <v>0.1</v>
      </c>
      <c r="G152" s="28">
        <v>45622</v>
      </c>
      <c r="H152" s="27">
        <v>853.86</v>
      </c>
      <c r="I152" s="27">
        <v>268.97000000000003</v>
      </c>
      <c r="J152" s="29">
        <f t="shared" ca="1" si="9"/>
        <v>46097.457814583337</v>
      </c>
      <c r="K152" s="27">
        <f t="shared" si="10"/>
        <v>584.89</v>
      </c>
      <c r="L152" s="30">
        <f>H152*(1-F152)-K152</f>
        <v>183.58400000000006</v>
      </c>
    </row>
    <row r="153" spans="1:12" x14ac:dyDescent="0.3">
      <c r="A153" s="26" t="s">
        <v>28</v>
      </c>
      <c r="B153" s="27" t="s">
        <v>43</v>
      </c>
      <c r="C153" s="27" t="s">
        <v>11</v>
      </c>
      <c r="D153" s="27" t="s">
        <v>21</v>
      </c>
      <c r="E153" s="27">
        <v>19</v>
      </c>
      <c r="F153" s="27">
        <v>0.2</v>
      </c>
      <c r="G153" s="28">
        <v>45625</v>
      </c>
      <c r="H153" s="27">
        <v>894.55</v>
      </c>
      <c r="I153" s="27">
        <v>178.91</v>
      </c>
      <c r="J153" s="29">
        <f t="shared" ca="1" si="9"/>
        <v>46097.457814583337</v>
      </c>
      <c r="K153" s="27">
        <f t="shared" si="10"/>
        <v>715.64</v>
      </c>
      <c r="L153" s="30">
        <f>H153*(1-F153)-K153</f>
        <v>0</v>
      </c>
    </row>
    <row r="154" spans="1:12" x14ac:dyDescent="0.3">
      <c r="A154" s="26" t="s">
        <v>41</v>
      </c>
      <c r="B154" s="27" t="s">
        <v>45</v>
      </c>
      <c r="C154" s="27" t="s">
        <v>18</v>
      </c>
      <c r="D154" s="27" t="s">
        <v>21</v>
      </c>
      <c r="E154" s="27">
        <v>4</v>
      </c>
      <c r="F154" s="27">
        <v>0.15</v>
      </c>
      <c r="G154" s="28">
        <v>45615</v>
      </c>
      <c r="H154" s="27">
        <v>919.18</v>
      </c>
      <c r="I154" s="27">
        <v>195.33</v>
      </c>
      <c r="J154" s="29">
        <f t="shared" ca="1" si="9"/>
        <v>46097.457814583337</v>
      </c>
      <c r="K154" s="27">
        <f t="shared" si="10"/>
        <v>723.84999999999991</v>
      </c>
      <c r="L154" s="30">
        <f>H154*(1-F154)-K154</f>
        <v>57.452999999999975</v>
      </c>
    </row>
    <row r="155" spans="1:12" x14ac:dyDescent="0.3">
      <c r="A155" s="26" t="s">
        <v>30</v>
      </c>
      <c r="B155" s="27" t="s">
        <v>59</v>
      </c>
      <c r="C155" s="27" t="s">
        <v>24</v>
      </c>
      <c r="D155" s="27" t="s">
        <v>27</v>
      </c>
      <c r="E155" s="27">
        <v>4</v>
      </c>
      <c r="F155" s="27">
        <v>0.05</v>
      </c>
      <c r="G155" s="28">
        <v>45605</v>
      </c>
      <c r="H155" s="27">
        <v>957.29</v>
      </c>
      <c r="I155" s="27">
        <v>318.3</v>
      </c>
      <c r="J155" s="29">
        <f t="shared" ca="1" si="9"/>
        <v>46097.457814583337</v>
      </c>
      <c r="K155" s="27">
        <f t="shared" si="10"/>
        <v>638.99</v>
      </c>
      <c r="L155" s="30">
        <f>H155*(1-F155)-K155</f>
        <v>270.43549999999993</v>
      </c>
    </row>
    <row r="156" spans="1:12" x14ac:dyDescent="0.3">
      <c r="A156" s="26" t="s">
        <v>54</v>
      </c>
      <c r="B156" s="27" t="s">
        <v>48</v>
      </c>
      <c r="C156" s="27" t="s">
        <v>18</v>
      </c>
      <c r="D156" s="27" t="s">
        <v>12</v>
      </c>
      <c r="E156" s="27">
        <v>2</v>
      </c>
      <c r="F156" s="27">
        <v>0.15</v>
      </c>
      <c r="G156" s="28">
        <v>45605</v>
      </c>
      <c r="H156" s="27">
        <v>1010.58</v>
      </c>
      <c r="I156" s="27">
        <v>343.6</v>
      </c>
      <c r="J156" s="29">
        <f t="shared" ca="1" si="9"/>
        <v>46097.457814583337</v>
      </c>
      <c r="K156" s="27">
        <f t="shared" si="10"/>
        <v>666.98</v>
      </c>
      <c r="L156" s="30">
        <f>H156*(1-F156)-K156</f>
        <v>192.01300000000003</v>
      </c>
    </row>
    <row r="157" spans="1:12" x14ac:dyDescent="0.3">
      <c r="A157" s="26" t="s">
        <v>44</v>
      </c>
      <c r="B157" s="27" t="s">
        <v>23</v>
      </c>
      <c r="C157" s="27" t="s">
        <v>18</v>
      </c>
      <c r="D157" s="27" t="s">
        <v>39</v>
      </c>
      <c r="E157" s="27">
        <v>14</v>
      </c>
      <c r="F157" s="27">
        <v>0.05</v>
      </c>
      <c r="G157" s="28">
        <v>45599</v>
      </c>
      <c r="H157" s="27">
        <v>1014.22</v>
      </c>
      <c r="I157" s="27">
        <v>433.58</v>
      </c>
      <c r="J157" s="29">
        <f t="shared" ca="1" si="9"/>
        <v>46097.457814583337</v>
      </c>
      <c r="K157" s="27">
        <f t="shared" si="10"/>
        <v>580.6400000000001</v>
      </c>
      <c r="L157" s="30">
        <f>H157*(1-F157)-K157</f>
        <v>382.86899999999991</v>
      </c>
    </row>
    <row r="158" spans="1:12" x14ac:dyDescent="0.3">
      <c r="A158" s="26" t="s">
        <v>54</v>
      </c>
      <c r="B158" s="27" t="s">
        <v>45</v>
      </c>
      <c r="C158" s="27" t="s">
        <v>18</v>
      </c>
      <c r="D158" s="27" t="s">
        <v>39</v>
      </c>
      <c r="E158" s="27">
        <v>10</v>
      </c>
      <c r="F158" s="27">
        <v>0.1</v>
      </c>
      <c r="G158" s="28">
        <v>45612</v>
      </c>
      <c r="H158" s="27">
        <v>1014.56</v>
      </c>
      <c r="I158" s="27">
        <v>410.9</v>
      </c>
      <c r="J158" s="29">
        <f t="shared" ca="1" si="9"/>
        <v>46097.457814583337</v>
      </c>
      <c r="K158" s="27">
        <f t="shared" si="10"/>
        <v>603.66</v>
      </c>
      <c r="L158" s="30">
        <f>H158*(1-F158)-K158</f>
        <v>309.44399999999996</v>
      </c>
    </row>
    <row r="159" spans="1:12" x14ac:dyDescent="0.3">
      <c r="A159" s="26" t="s">
        <v>75</v>
      </c>
      <c r="B159" s="27" t="s">
        <v>45</v>
      </c>
      <c r="C159" s="27" t="s">
        <v>20</v>
      </c>
      <c r="D159" s="27" t="s">
        <v>21</v>
      </c>
      <c r="E159" s="27">
        <v>1</v>
      </c>
      <c r="F159" s="27">
        <v>0</v>
      </c>
      <c r="G159" s="28">
        <v>45624</v>
      </c>
      <c r="H159" s="27">
        <v>1061.04</v>
      </c>
      <c r="I159" s="27">
        <v>265.26</v>
      </c>
      <c r="J159" s="29">
        <f t="shared" ca="1" si="9"/>
        <v>46097.457814583337</v>
      </c>
      <c r="K159" s="27">
        <f t="shared" si="10"/>
        <v>795.78</v>
      </c>
      <c r="L159" s="30">
        <f>H159*(1-F159)-K159</f>
        <v>265.26</v>
      </c>
    </row>
    <row r="160" spans="1:12" x14ac:dyDescent="0.3">
      <c r="A160" s="26" t="s">
        <v>28</v>
      </c>
      <c r="B160" s="27" t="s">
        <v>45</v>
      </c>
      <c r="C160" s="27" t="s">
        <v>24</v>
      </c>
      <c r="D160" s="27" t="s">
        <v>27</v>
      </c>
      <c r="E160" s="27">
        <v>3</v>
      </c>
      <c r="F160" s="27">
        <v>0.05</v>
      </c>
      <c r="G160" s="28">
        <v>45608</v>
      </c>
      <c r="H160" s="27">
        <v>1077.92</v>
      </c>
      <c r="I160" s="27">
        <v>358.41</v>
      </c>
      <c r="J160" s="29">
        <f t="shared" ca="1" si="9"/>
        <v>46097.457814583337</v>
      </c>
      <c r="K160" s="27">
        <f t="shared" si="10"/>
        <v>719.51</v>
      </c>
      <c r="L160" s="30">
        <f>H160*(1-F160)-K160</f>
        <v>304.51400000000012</v>
      </c>
    </row>
    <row r="161" spans="1:12" x14ac:dyDescent="0.3">
      <c r="A161" s="26" t="s">
        <v>57</v>
      </c>
      <c r="B161" s="27" t="s">
        <v>38</v>
      </c>
      <c r="C161" s="27" t="s">
        <v>34</v>
      </c>
      <c r="D161" s="27" t="s">
        <v>12</v>
      </c>
      <c r="E161" s="27">
        <v>8</v>
      </c>
      <c r="F161" s="27">
        <v>0.05</v>
      </c>
      <c r="G161" s="28">
        <v>45622</v>
      </c>
      <c r="H161" s="27">
        <v>1150.28</v>
      </c>
      <c r="I161" s="27">
        <v>437.11</v>
      </c>
      <c r="J161" s="29">
        <f t="shared" ca="1" si="9"/>
        <v>46097.457814583337</v>
      </c>
      <c r="K161" s="27">
        <f t="shared" si="10"/>
        <v>713.17</v>
      </c>
      <c r="L161" s="30">
        <f>H161*(1-F161)-K161</f>
        <v>379.59599999999989</v>
      </c>
    </row>
    <row r="162" spans="1:12" x14ac:dyDescent="0.3">
      <c r="A162" s="26" t="s">
        <v>52</v>
      </c>
      <c r="B162" s="27" t="s">
        <v>50</v>
      </c>
      <c r="C162" s="27" t="s">
        <v>20</v>
      </c>
      <c r="D162" s="27" t="s">
        <v>15</v>
      </c>
      <c r="E162" s="27">
        <v>5</v>
      </c>
      <c r="F162" s="27">
        <v>0</v>
      </c>
      <c r="G162" s="28">
        <v>45611</v>
      </c>
      <c r="H162" s="27">
        <v>1163.01</v>
      </c>
      <c r="I162" s="27">
        <v>581.5</v>
      </c>
      <c r="J162" s="29">
        <f t="shared" ref="J162:J193" ca="1" si="11">NOW()</f>
        <v>46097.457814583337</v>
      </c>
      <c r="K162" s="27">
        <f t="shared" ref="K162:K193" si="12">H162-I162</f>
        <v>581.51</v>
      </c>
      <c r="L162" s="30">
        <f>H162*(1-F162)-K162</f>
        <v>581.5</v>
      </c>
    </row>
    <row r="163" spans="1:12" x14ac:dyDescent="0.3">
      <c r="A163" s="26" t="s">
        <v>63</v>
      </c>
      <c r="B163" s="27" t="s">
        <v>61</v>
      </c>
      <c r="C163" s="27" t="s">
        <v>18</v>
      </c>
      <c r="D163" s="27" t="s">
        <v>12</v>
      </c>
      <c r="E163" s="27">
        <v>5</v>
      </c>
      <c r="F163" s="27">
        <v>0.05</v>
      </c>
      <c r="G163" s="28">
        <v>45616</v>
      </c>
      <c r="H163" s="27">
        <v>1213.48</v>
      </c>
      <c r="I163" s="27">
        <v>461.12</v>
      </c>
      <c r="J163" s="29">
        <f t="shared" ca="1" si="11"/>
        <v>46097.457814583337</v>
      </c>
      <c r="K163" s="27">
        <f t="shared" si="12"/>
        <v>752.36</v>
      </c>
      <c r="L163" s="30">
        <f>H163*(1-F163)-K163</f>
        <v>400.44600000000003</v>
      </c>
    </row>
    <row r="164" spans="1:12" x14ac:dyDescent="0.3">
      <c r="A164" s="26" t="s">
        <v>73</v>
      </c>
      <c r="B164" s="27" t="s">
        <v>29</v>
      </c>
      <c r="C164" s="27" t="s">
        <v>34</v>
      </c>
      <c r="D164" s="27" t="s">
        <v>12</v>
      </c>
      <c r="E164" s="27">
        <v>4</v>
      </c>
      <c r="F164" s="27">
        <v>0.05</v>
      </c>
      <c r="G164" s="28">
        <v>45597</v>
      </c>
      <c r="H164" s="27">
        <v>1249.0999999999999</v>
      </c>
      <c r="I164" s="27">
        <v>474.66</v>
      </c>
      <c r="J164" s="29">
        <f t="shared" ca="1" si="11"/>
        <v>46097.457814583337</v>
      </c>
      <c r="K164" s="27">
        <f t="shared" si="12"/>
        <v>774.43999999999983</v>
      </c>
      <c r="L164" s="30">
        <f>H164*(1-F164)-K164</f>
        <v>412.20499999999993</v>
      </c>
    </row>
    <row r="165" spans="1:12" x14ac:dyDescent="0.3">
      <c r="A165" s="26" t="s">
        <v>72</v>
      </c>
      <c r="B165" s="27" t="s">
        <v>17</v>
      </c>
      <c r="C165" s="27" t="s">
        <v>34</v>
      </c>
      <c r="D165" s="27" t="s">
        <v>15</v>
      </c>
      <c r="E165" s="27">
        <v>18</v>
      </c>
      <c r="F165" s="27">
        <v>0.2</v>
      </c>
      <c r="G165" s="28">
        <v>45613</v>
      </c>
      <c r="H165" s="27">
        <v>1277.8499999999999</v>
      </c>
      <c r="I165" s="27">
        <v>511.14</v>
      </c>
      <c r="J165" s="29">
        <f t="shared" ca="1" si="11"/>
        <v>46097.457814583337</v>
      </c>
      <c r="K165" s="27">
        <f t="shared" si="12"/>
        <v>766.70999999999992</v>
      </c>
      <c r="L165" s="30">
        <f>H165*(1-F165)-K165</f>
        <v>255.57000000000005</v>
      </c>
    </row>
    <row r="166" spans="1:12" x14ac:dyDescent="0.3">
      <c r="A166" s="26" t="s">
        <v>32</v>
      </c>
      <c r="B166" s="27" t="s">
        <v>61</v>
      </c>
      <c r="C166" s="27" t="s">
        <v>20</v>
      </c>
      <c r="D166" s="27" t="s">
        <v>27</v>
      </c>
      <c r="E166" s="27">
        <v>10</v>
      </c>
      <c r="F166" s="27">
        <v>0</v>
      </c>
      <c r="G166" s="28">
        <v>45615</v>
      </c>
      <c r="H166" s="27">
        <v>1350.33</v>
      </c>
      <c r="I166" s="27">
        <v>472.62</v>
      </c>
      <c r="J166" s="29">
        <f t="shared" ca="1" si="11"/>
        <v>46097.457814583337</v>
      </c>
      <c r="K166" s="27">
        <f t="shared" si="12"/>
        <v>877.70999999999992</v>
      </c>
      <c r="L166" s="30">
        <f>H166*(1-F166)-K166</f>
        <v>472.62</v>
      </c>
    </row>
    <row r="167" spans="1:12" x14ac:dyDescent="0.3">
      <c r="A167" s="26" t="s">
        <v>65</v>
      </c>
      <c r="B167" s="27" t="s">
        <v>50</v>
      </c>
      <c r="C167" s="27" t="s">
        <v>18</v>
      </c>
      <c r="D167" s="27" t="s">
        <v>21</v>
      </c>
      <c r="E167" s="27">
        <v>15</v>
      </c>
      <c r="F167" s="27">
        <v>0</v>
      </c>
      <c r="G167" s="28">
        <v>45615</v>
      </c>
      <c r="H167" s="27">
        <v>1410.59</v>
      </c>
      <c r="I167" s="27">
        <v>352.65</v>
      </c>
      <c r="J167" s="29">
        <f t="shared" ca="1" si="11"/>
        <v>46097.457814583337</v>
      </c>
      <c r="K167" s="27">
        <f t="shared" si="12"/>
        <v>1057.94</v>
      </c>
      <c r="L167" s="30">
        <f>H167*(1-F167)-K167</f>
        <v>352.64999999999986</v>
      </c>
    </row>
    <row r="168" spans="1:12" x14ac:dyDescent="0.3">
      <c r="A168" s="26" t="s">
        <v>67</v>
      </c>
      <c r="B168" s="27" t="s">
        <v>69</v>
      </c>
      <c r="C168" s="27" t="s">
        <v>24</v>
      </c>
      <c r="D168" s="27" t="s">
        <v>15</v>
      </c>
      <c r="E168" s="27">
        <v>1</v>
      </c>
      <c r="F168" s="27">
        <v>0.2</v>
      </c>
      <c r="G168" s="28">
        <v>45593</v>
      </c>
      <c r="H168" s="27">
        <v>661.09</v>
      </c>
      <c r="I168" s="27">
        <v>264.44</v>
      </c>
      <c r="J168" s="29">
        <f t="shared" ca="1" si="11"/>
        <v>46097.457814583337</v>
      </c>
      <c r="K168" s="27">
        <f t="shared" si="12"/>
        <v>396.65000000000003</v>
      </c>
      <c r="L168" s="30">
        <f>H168*(1-F168)-K168</f>
        <v>132.22200000000004</v>
      </c>
    </row>
    <row r="169" spans="1:12" x14ac:dyDescent="0.3">
      <c r="A169" s="26" t="s">
        <v>13</v>
      </c>
      <c r="B169" s="27" t="s">
        <v>55</v>
      </c>
      <c r="C169" s="27" t="s">
        <v>11</v>
      </c>
      <c r="D169" s="27" t="s">
        <v>21</v>
      </c>
      <c r="E169" s="27">
        <v>15</v>
      </c>
      <c r="F169" s="27">
        <v>0</v>
      </c>
      <c r="G169" s="28">
        <v>45595</v>
      </c>
      <c r="H169" s="27">
        <v>688.83</v>
      </c>
      <c r="I169" s="27">
        <v>172.21</v>
      </c>
      <c r="J169" s="29">
        <f t="shared" ca="1" si="11"/>
        <v>46097.457814583337</v>
      </c>
      <c r="K169" s="27">
        <f t="shared" si="12"/>
        <v>516.62</v>
      </c>
      <c r="L169" s="30">
        <f>H169*(1-F169)-K169</f>
        <v>172.21000000000004</v>
      </c>
    </row>
    <row r="170" spans="1:12" x14ac:dyDescent="0.3">
      <c r="A170" s="26" t="s">
        <v>74</v>
      </c>
      <c r="B170" s="27" t="s">
        <v>23</v>
      </c>
      <c r="C170" s="27" t="s">
        <v>11</v>
      </c>
      <c r="D170" s="27" t="s">
        <v>15</v>
      </c>
      <c r="E170" s="27">
        <v>17</v>
      </c>
      <c r="F170" s="27">
        <v>0.1</v>
      </c>
      <c r="G170" s="28">
        <v>45584</v>
      </c>
      <c r="H170" s="27">
        <v>697.57</v>
      </c>
      <c r="I170" s="27">
        <v>313.91000000000003</v>
      </c>
      <c r="J170" s="29">
        <f t="shared" ca="1" si="11"/>
        <v>46097.457814583337</v>
      </c>
      <c r="K170" s="27">
        <f t="shared" si="12"/>
        <v>383.66</v>
      </c>
      <c r="L170" s="30">
        <f>H170*(1-F170)-K170</f>
        <v>244.15300000000008</v>
      </c>
    </row>
    <row r="171" spans="1:12" x14ac:dyDescent="0.3">
      <c r="A171" s="26" t="s">
        <v>54</v>
      </c>
      <c r="B171" s="27" t="s">
        <v>66</v>
      </c>
      <c r="C171" s="27" t="s">
        <v>34</v>
      </c>
      <c r="D171" s="27" t="s">
        <v>15</v>
      </c>
      <c r="E171" s="27">
        <v>14</v>
      </c>
      <c r="F171" s="27">
        <v>0.1</v>
      </c>
      <c r="G171" s="28">
        <v>45581</v>
      </c>
      <c r="H171" s="27">
        <v>728.71</v>
      </c>
      <c r="I171" s="27">
        <v>327.92</v>
      </c>
      <c r="J171" s="29">
        <f t="shared" ca="1" si="11"/>
        <v>46097.457814583337</v>
      </c>
      <c r="K171" s="27">
        <f t="shared" si="12"/>
        <v>400.79</v>
      </c>
      <c r="L171" s="30">
        <f>H171*(1-F171)-K171</f>
        <v>255.04900000000004</v>
      </c>
    </row>
    <row r="172" spans="1:12" x14ac:dyDescent="0.3">
      <c r="A172" s="26" t="s">
        <v>32</v>
      </c>
      <c r="B172" s="27" t="s">
        <v>38</v>
      </c>
      <c r="C172" s="27" t="s">
        <v>20</v>
      </c>
      <c r="D172" s="27" t="s">
        <v>21</v>
      </c>
      <c r="E172" s="27">
        <v>1</v>
      </c>
      <c r="F172" s="27">
        <v>0</v>
      </c>
      <c r="G172" s="28">
        <v>45585</v>
      </c>
      <c r="H172" s="27">
        <v>771.02</v>
      </c>
      <c r="I172" s="27">
        <v>192.76</v>
      </c>
      <c r="J172" s="29">
        <f t="shared" ca="1" si="11"/>
        <v>46097.457814583337</v>
      </c>
      <c r="K172" s="27">
        <f t="shared" si="12"/>
        <v>578.26</v>
      </c>
      <c r="L172" s="30">
        <f>H172*(1-F172)-K172</f>
        <v>192.76</v>
      </c>
    </row>
    <row r="173" spans="1:12" x14ac:dyDescent="0.3">
      <c r="A173" s="26" t="s">
        <v>13</v>
      </c>
      <c r="B173" s="27" t="s">
        <v>48</v>
      </c>
      <c r="C173" s="27" t="s">
        <v>24</v>
      </c>
      <c r="D173" s="27" t="s">
        <v>21</v>
      </c>
      <c r="E173" s="27">
        <v>17</v>
      </c>
      <c r="F173" s="27">
        <v>0</v>
      </c>
      <c r="G173" s="28">
        <v>45570</v>
      </c>
      <c r="H173" s="27">
        <v>925.29</v>
      </c>
      <c r="I173" s="27">
        <v>231.32</v>
      </c>
      <c r="J173" s="29">
        <f t="shared" ca="1" si="11"/>
        <v>46097.457814583337</v>
      </c>
      <c r="K173" s="27">
        <f t="shared" si="12"/>
        <v>693.97</v>
      </c>
      <c r="L173" s="30">
        <f>H173*(1-F173)-K173</f>
        <v>231.31999999999994</v>
      </c>
    </row>
    <row r="174" spans="1:12" x14ac:dyDescent="0.3">
      <c r="A174" s="26" t="s">
        <v>37</v>
      </c>
      <c r="B174" s="27" t="s">
        <v>64</v>
      </c>
      <c r="C174" s="27" t="s">
        <v>20</v>
      </c>
      <c r="D174" s="27" t="s">
        <v>12</v>
      </c>
      <c r="E174" s="27">
        <v>8</v>
      </c>
      <c r="F174" s="27">
        <v>0.2</v>
      </c>
      <c r="G174" s="28">
        <v>45577</v>
      </c>
      <c r="H174" s="27">
        <v>961.62</v>
      </c>
      <c r="I174" s="27">
        <v>307.72000000000003</v>
      </c>
      <c r="J174" s="29">
        <f t="shared" ca="1" si="11"/>
        <v>46097.457814583337</v>
      </c>
      <c r="K174" s="27">
        <f t="shared" si="12"/>
        <v>653.9</v>
      </c>
      <c r="L174" s="30">
        <f>H174*(1-F174)-K174</f>
        <v>115.39600000000007</v>
      </c>
    </row>
    <row r="175" spans="1:12" x14ac:dyDescent="0.3">
      <c r="A175" s="26" t="s">
        <v>70</v>
      </c>
      <c r="B175" s="27" t="s">
        <v>66</v>
      </c>
      <c r="C175" s="27" t="s">
        <v>18</v>
      </c>
      <c r="D175" s="27" t="s">
        <v>12</v>
      </c>
      <c r="E175" s="27">
        <v>16</v>
      </c>
      <c r="F175" s="27">
        <v>0.1</v>
      </c>
      <c r="G175" s="28">
        <v>45582</v>
      </c>
      <c r="H175" s="27">
        <v>980.18</v>
      </c>
      <c r="I175" s="27">
        <v>352.86</v>
      </c>
      <c r="J175" s="29">
        <f t="shared" ca="1" si="11"/>
        <v>46097.457814583337</v>
      </c>
      <c r="K175" s="27">
        <f t="shared" si="12"/>
        <v>627.31999999999994</v>
      </c>
      <c r="L175" s="30">
        <f>H175*(1-F175)-K175</f>
        <v>254.84199999999998</v>
      </c>
    </row>
    <row r="176" spans="1:12" x14ac:dyDescent="0.3">
      <c r="A176" s="26" t="s">
        <v>44</v>
      </c>
      <c r="B176" s="27" t="s">
        <v>56</v>
      </c>
      <c r="C176" s="27" t="s">
        <v>34</v>
      </c>
      <c r="D176" s="27" t="s">
        <v>21</v>
      </c>
      <c r="E176" s="27">
        <v>13</v>
      </c>
      <c r="F176" s="27">
        <v>0.2</v>
      </c>
      <c r="G176" s="28">
        <v>45567</v>
      </c>
      <c r="H176" s="27">
        <v>1014.09</v>
      </c>
      <c r="I176" s="27">
        <v>202.82</v>
      </c>
      <c r="J176" s="29">
        <f t="shared" ca="1" si="11"/>
        <v>46097.457814583337</v>
      </c>
      <c r="K176" s="27">
        <f t="shared" si="12"/>
        <v>811.27</v>
      </c>
      <c r="L176" s="30">
        <f>H176*(1-F176)-K176</f>
        <v>2.0000000000663931E-3</v>
      </c>
    </row>
    <row r="177" spans="1:12" x14ac:dyDescent="0.3">
      <c r="A177" s="26" t="s">
        <v>44</v>
      </c>
      <c r="B177" s="27" t="s">
        <v>23</v>
      </c>
      <c r="C177" s="27" t="s">
        <v>18</v>
      </c>
      <c r="D177" s="27" t="s">
        <v>12</v>
      </c>
      <c r="E177" s="27">
        <v>19</v>
      </c>
      <c r="F177" s="27">
        <v>0.15</v>
      </c>
      <c r="G177" s="28">
        <v>45577</v>
      </c>
      <c r="H177" s="27">
        <v>1081.1400000000001</v>
      </c>
      <c r="I177" s="27">
        <v>367.59</v>
      </c>
      <c r="J177" s="29">
        <f t="shared" ca="1" si="11"/>
        <v>46097.457814583337</v>
      </c>
      <c r="K177" s="27">
        <f t="shared" si="12"/>
        <v>713.55000000000018</v>
      </c>
      <c r="L177" s="30">
        <f>H177*(1-F177)-K177</f>
        <v>205.41899999999987</v>
      </c>
    </row>
    <row r="178" spans="1:12" x14ac:dyDescent="0.3">
      <c r="A178" s="26" t="s">
        <v>46</v>
      </c>
      <c r="B178" s="27" t="s">
        <v>71</v>
      </c>
      <c r="C178" s="27" t="s">
        <v>11</v>
      </c>
      <c r="D178" s="27" t="s">
        <v>27</v>
      </c>
      <c r="E178" s="27">
        <v>1</v>
      </c>
      <c r="F178" s="27">
        <v>0.15</v>
      </c>
      <c r="G178" s="28">
        <v>45584</v>
      </c>
      <c r="H178" s="27">
        <v>1193.6099999999999</v>
      </c>
      <c r="I178" s="27">
        <v>355.1</v>
      </c>
      <c r="J178" s="29">
        <f t="shared" ca="1" si="11"/>
        <v>46097.457814583337</v>
      </c>
      <c r="K178" s="27">
        <f t="shared" si="12"/>
        <v>838.50999999999988</v>
      </c>
      <c r="L178" s="30">
        <f>H178*(1-F178)-K178</f>
        <v>176.05849999999998</v>
      </c>
    </row>
    <row r="179" spans="1:12" x14ac:dyDescent="0.3">
      <c r="A179" s="26" t="s">
        <v>54</v>
      </c>
      <c r="B179" s="27" t="s">
        <v>47</v>
      </c>
      <c r="C179" s="27" t="s">
        <v>18</v>
      </c>
      <c r="D179" s="27" t="s">
        <v>27</v>
      </c>
      <c r="E179" s="27">
        <v>8</v>
      </c>
      <c r="F179" s="27">
        <v>0</v>
      </c>
      <c r="G179" s="28">
        <v>45575</v>
      </c>
      <c r="H179" s="27">
        <v>1286.54</v>
      </c>
      <c r="I179" s="27">
        <v>450.29</v>
      </c>
      <c r="J179" s="29">
        <f t="shared" ca="1" si="11"/>
        <v>46097.457814583337</v>
      </c>
      <c r="K179" s="27">
        <f t="shared" si="12"/>
        <v>836.25</v>
      </c>
      <c r="L179" s="30">
        <f>H179*(1-F179)-K179</f>
        <v>450.28999999999996</v>
      </c>
    </row>
    <row r="180" spans="1:12" x14ac:dyDescent="0.3">
      <c r="A180" s="26" t="s">
        <v>9</v>
      </c>
      <c r="B180" s="27" t="s">
        <v>33</v>
      </c>
      <c r="C180" s="27" t="s">
        <v>34</v>
      </c>
      <c r="D180" s="27" t="s">
        <v>15</v>
      </c>
      <c r="E180" s="27">
        <v>7</v>
      </c>
      <c r="F180" s="27">
        <v>0.15</v>
      </c>
      <c r="G180" s="28">
        <v>45581</v>
      </c>
      <c r="H180" s="27">
        <v>1301.8900000000001</v>
      </c>
      <c r="I180" s="27">
        <v>553.29999999999995</v>
      </c>
      <c r="J180" s="29">
        <f t="shared" ca="1" si="11"/>
        <v>46097.457814583337</v>
      </c>
      <c r="K180" s="27">
        <f t="shared" si="12"/>
        <v>748.59000000000015</v>
      </c>
      <c r="L180" s="30">
        <f>H180*(1-F180)-K180</f>
        <v>358.01649999999995</v>
      </c>
    </row>
    <row r="181" spans="1:12" x14ac:dyDescent="0.3">
      <c r="A181" s="26" t="s">
        <v>58</v>
      </c>
      <c r="B181" s="27" t="s">
        <v>23</v>
      </c>
      <c r="C181" s="27" t="s">
        <v>11</v>
      </c>
      <c r="D181" s="27" t="s">
        <v>15</v>
      </c>
      <c r="E181" s="27">
        <v>9</v>
      </c>
      <c r="F181" s="27">
        <v>0.2</v>
      </c>
      <c r="G181" s="28">
        <v>45580</v>
      </c>
      <c r="H181" s="27">
        <v>1923.66</v>
      </c>
      <c r="I181" s="27">
        <v>769.46</v>
      </c>
      <c r="J181" s="29">
        <f t="shared" ca="1" si="11"/>
        <v>46097.457814583337</v>
      </c>
      <c r="K181" s="27">
        <f t="shared" si="12"/>
        <v>1154.2</v>
      </c>
      <c r="L181" s="30">
        <f>H181*(1-F181)-K181</f>
        <v>384.72800000000007</v>
      </c>
    </row>
    <row r="182" spans="1:12" x14ac:dyDescent="0.3">
      <c r="A182" s="26" t="s">
        <v>74</v>
      </c>
      <c r="B182" s="27" t="s">
        <v>38</v>
      </c>
      <c r="C182" s="27" t="s">
        <v>24</v>
      </c>
      <c r="D182" s="27" t="s">
        <v>12</v>
      </c>
      <c r="E182" s="27">
        <v>17</v>
      </c>
      <c r="F182" s="27">
        <v>0.1</v>
      </c>
      <c r="G182" s="28">
        <v>45565</v>
      </c>
      <c r="H182" s="27">
        <v>585.97</v>
      </c>
      <c r="I182" s="27">
        <v>210.95</v>
      </c>
      <c r="J182" s="29">
        <f t="shared" ca="1" si="11"/>
        <v>46097.457814583337</v>
      </c>
      <c r="K182" s="27">
        <f t="shared" si="12"/>
        <v>375.02000000000004</v>
      </c>
      <c r="L182" s="30">
        <f>H182*(1-F182)-K182</f>
        <v>152.35300000000001</v>
      </c>
    </row>
    <row r="183" spans="1:12" x14ac:dyDescent="0.3">
      <c r="A183" s="26" t="s">
        <v>73</v>
      </c>
      <c r="B183" s="27" t="s">
        <v>14</v>
      </c>
      <c r="C183" s="27" t="s">
        <v>20</v>
      </c>
      <c r="D183" s="27" t="s">
        <v>27</v>
      </c>
      <c r="E183" s="27">
        <v>1</v>
      </c>
      <c r="F183" s="27">
        <v>0.1</v>
      </c>
      <c r="G183" s="28">
        <v>45552</v>
      </c>
      <c r="H183" s="27">
        <v>727.73</v>
      </c>
      <c r="I183" s="27">
        <v>229.23</v>
      </c>
      <c r="J183" s="29">
        <f t="shared" ca="1" si="11"/>
        <v>46097.457814583337</v>
      </c>
      <c r="K183" s="27">
        <f t="shared" si="12"/>
        <v>498.5</v>
      </c>
      <c r="L183" s="30">
        <f>H183*(1-F183)-K183</f>
        <v>156.45699999999999</v>
      </c>
    </row>
    <row r="184" spans="1:12" x14ac:dyDescent="0.3">
      <c r="A184" s="26" t="s">
        <v>52</v>
      </c>
      <c r="B184" s="27" t="s">
        <v>50</v>
      </c>
      <c r="C184" s="27" t="s">
        <v>34</v>
      </c>
      <c r="D184" s="27" t="s">
        <v>21</v>
      </c>
      <c r="E184" s="27">
        <v>7</v>
      </c>
      <c r="F184" s="27">
        <v>0.1</v>
      </c>
      <c r="G184" s="28">
        <v>45536</v>
      </c>
      <c r="H184" s="27">
        <v>790.08</v>
      </c>
      <c r="I184" s="27">
        <v>177.77</v>
      </c>
      <c r="J184" s="29">
        <f t="shared" ca="1" si="11"/>
        <v>46097.457814583337</v>
      </c>
      <c r="K184" s="27">
        <f t="shared" si="12"/>
        <v>612.31000000000006</v>
      </c>
      <c r="L184" s="30">
        <f>H184*(1-F184)-K184</f>
        <v>98.761999999999944</v>
      </c>
    </row>
    <row r="185" spans="1:12" x14ac:dyDescent="0.3">
      <c r="A185" s="26" t="s">
        <v>16</v>
      </c>
      <c r="B185" s="27" t="s">
        <v>64</v>
      </c>
      <c r="C185" s="27" t="s">
        <v>11</v>
      </c>
      <c r="D185" s="27" t="s">
        <v>39</v>
      </c>
      <c r="E185" s="27">
        <v>10</v>
      </c>
      <c r="F185" s="27">
        <v>0.2</v>
      </c>
      <c r="G185" s="28">
        <v>45564</v>
      </c>
      <c r="H185" s="27">
        <v>826.93</v>
      </c>
      <c r="I185" s="27">
        <v>297.69</v>
      </c>
      <c r="J185" s="29">
        <f t="shared" ca="1" si="11"/>
        <v>46097.457814583337</v>
      </c>
      <c r="K185" s="27">
        <f t="shared" si="12"/>
        <v>529.24</v>
      </c>
      <c r="L185" s="30">
        <f>H185*(1-F185)-K185</f>
        <v>132.30399999999997</v>
      </c>
    </row>
    <row r="186" spans="1:12" x14ac:dyDescent="0.3">
      <c r="A186" s="26" t="s">
        <v>40</v>
      </c>
      <c r="B186" s="27" t="s">
        <v>55</v>
      </c>
      <c r="C186" s="27" t="s">
        <v>18</v>
      </c>
      <c r="D186" s="27" t="s">
        <v>27</v>
      </c>
      <c r="E186" s="27">
        <v>9</v>
      </c>
      <c r="F186" s="27">
        <v>0</v>
      </c>
      <c r="G186" s="28">
        <v>45546</v>
      </c>
      <c r="H186" s="27">
        <v>873.7</v>
      </c>
      <c r="I186" s="27">
        <v>305.8</v>
      </c>
      <c r="J186" s="29">
        <f t="shared" ca="1" si="11"/>
        <v>46097.457814583337</v>
      </c>
      <c r="K186" s="27">
        <f t="shared" si="12"/>
        <v>567.90000000000009</v>
      </c>
      <c r="L186" s="30">
        <f>H186*(1-F186)-K186</f>
        <v>305.79999999999995</v>
      </c>
    </row>
    <row r="187" spans="1:12" x14ac:dyDescent="0.3">
      <c r="A187" s="26" t="s">
        <v>74</v>
      </c>
      <c r="B187" s="27" t="s">
        <v>38</v>
      </c>
      <c r="C187" s="27" t="s">
        <v>18</v>
      </c>
      <c r="D187" s="27" t="s">
        <v>39</v>
      </c>
      <c r="E187" s="27">
        <v>13</v>
      </c>
      <c r="F187" s="27">
        <v>0.15</v>
      </c>
      <c r="G187" s="28">
        <v>45552</v>
      </c>
      <c r="H187" s="27">
        <v>875.41</v>
      </c>
      <c r="I187" s="27">
        <v>334.84</v>
      </c>
      <c r="J187" s="29">
        <f t="shared" ca="1" si="11"/>
        <v>46097.457814583337</v>
      </c>
      <c r="K187" s="27">
        <f t="shared" si="12"/>
        <v>540.56999999999994</v>
      </c>
      <c r="L187" s="30">
        <f>H187*(1-F187)-K187</f>
        <v>203.52850000000001</v>
      </c>
    </row>
    <row r="188" spans="1:12" x14ac:dyDescent="0.3">
      <c r="A188" s="26" t="s">
        <v>67</v>
      </c>
      <c r="B188" s="27" t="s">
        <v>23</v>
      </c>
      <c r="C188" s="27" t="s">
        <v>34</v>
      </c>
      <c r="D188" s="27" t="s">
        <v>15</v>
      </c>
      <c r="E188" s="27">
        <v>12</v>
      </c>
      <c r="F188" s="27">
        <v>0</v>
      </c>
      <c r="G188" s="28">
        <v>45564</v>
      </c>
      <c r="H188" s="27">
        <v>902.19</v>
      </c>
      <c r="I188" s="27">
        <v>451.1</v>
      </c>
      <c r="J188" s="29">
        <f t="shared" ca="1" si="11"/>
        <v>46097.457814583337</v>
      </c>
      <c r="K188" s="27">
        <f t="shared" si="12"/>
        <v>451.09000000000003</v>
      </c>
      <c r="L188" s="30">
        <f>H188*(1-F188)-K188</f>
        <v>451.1</v>
      </c>
    </row>
    <row r="189" spans="1:12" x14ac:dyDescent="0.3">
      <c r="A189" s="26" t="s">
        <v>68</v>
      </c>
      <c r="B189" s="27" t="s">
        <v>17</v>
      </c>
      <c r="C189" s="27" t="s">
        <v>20</v>
      </c>
      <c r="D189" s="27" t="s">
        <v>12</v>
      </c>
      <c r="E189" s="27">
        <v>6</v>
      </c>
      <c r="F189" s="27">
        <v>0</v>
      </c>
      <c r="G189" s="28">
        <v>45558</v>
      </c>
      <c r="H189" s="27">
        <v>917.48</v>
      </c>
      <c r="I189" s="27">
        <v>366.99</v>
      </c>
      <c r="J189" s="29">
        <f t="shared" ca="1" si="11"/>
        <v>46097.457814583337</v>
      </c>
      <c r="K189" s="27">
        <f t="shared" si="12"/>
        <v>550.49</v>
      </c>
      <c r="L189" s="30">
        <f>H189*(1-F189)-K189</f>
        <v>366.99</v>
      </c>
    </row>
    <row r="190" spans="1:12" x14ac:dyDescent="0.3">
      <c r="A190" s="26" t="s">
        <v>75</v>
      </c>
      <c r="B190" s="27" t="s">
        <v>47</v>
      </c>
      <c r="C190" s="27" t="s">
        <v>20</v>
      </c>
      <c r="D190" s="27" t="s">
        <v>12</v>
      </c>
      <c r="E190" s="27">
        <v>2</v>
      </c>
      <c r="F190" s="27">
        <v>0.15</v>
      </c>
      <c r="G190" s="28">
        <v>45557</v>
      </c>
      <c r="H190" s="27">
        <v>966.3</v>
      </c>
      <c r="I190" s="27">
        <v>328.54</v>
      </c>
      <c r="J190" s="29">
        <f t="shared" ca="1" si="11"/>
        <v>46097.457814583337</v>
      </c>
      <c r="K190" s="27">
        <f t="shared" si="12"/>
        <v>637.76</v>
      </c>
      <c r="L190" s="30">
        <f>H190*(1-F190)-K190</f>
        <v>183.59499999999991</v>
      </c>
    </row>
    <row r="191" spans="1:12" x14ac:dyDescent="0.3">
      <c r="A191" s="26" t="s">
        <v>60</v>
      </c>
      <c r="B191" s="27" t="s">
        <v>26</v>
      </c>
      <c r="C191" s="27" t="s">
        <v>24</v>
      </c>
      <c r="D191" s="27" t="s">
        <v>15</v>
      </c>
      <c r="E191" s="27">
        <v>8</v>
      </c>
      <c r="F191" s="27">
        <v>0.1</v>
      </c>
      <c r="G191" s="28">
        <v>45565</v>
      </c>
      <c r="H191" s="27">
        <v>990.19</v>
      </c>
      <c r="I191" s="27">
        <v>445.59</v>
      </c>
      <c r="J191" s="29">
        <f t="shared" ca="1" si="11"/>
        <v>46097.457814583337</v>
      </c>
      <c r="K191" s="27">
        <f t="shared" si="12"/>
        <v>544.60000000000014</v>
      </c>
      <c r="L191" s="30">
        <f>H191*(1-F191)-K191</f>
        <v>346.57099999999991</v>
      </c>
    </row>
    <row r="192" spans="1:12" x14ac:dyDescent="0.3">
      <c r="A192" s="26" t="s">
        <v>19</v>
      </c>
      <c r="B192" s="27" t="s">
        <v>48</v>
      </c>
      <c r="C192" s="27" t="s">
        <v>34</v>
      </c>
      <c r="D192" s="27" t="s">
        <v>12</v>
      </c>
      <c r="E192" s="27">
        <v>7</v>
      </c>
      <c r="F192" s="27">
        <v>0.05</v>
      </c>
      <c r="G192" s="28">
        <v>45536</v>
      </c>
      <c r="H192" s="27">
        <v>1070.68</v>
      </c>
      <c r="I192" s="27">
        <v>406.86</v>
      </c>
      <c r="J192" s="29">
        <f t="shared" ca="1" si="11"/>
        <v>46097.457814583337</v>
      </c>
      <c r="K192" s="27">
        <f t="shared" si="12"/>
        <v>663.82</v>
      </c>
      <c r="L192" s="30">
        <f>H192*(1-F192)-K192</f>
        <v>353.32599999999991</v>
      </c>
    </row>
    <row r="193" spans="1:12" x14ac:dyDescent="0.3">
      <c r="A193" s="26" t="s">
        <v>25</v>
      </c>
      <c r="B193" s="27" t="s">
        <v>66</v>
      </c>
      <c r="C193" s="27" t="s">
        <v>11</v>
      </c>
      <c r="D193" s="27" t="s">
        <v>27</v>
      </c>
      <c r="E193" s="27">
        <v>4</v>
      </c>
      <c r="F193" s="27">
        <v>0.1</v>
      </c>
      <c r="G193" s="28">
        <v>45551</v>
      </c>
      <c r="H193" s="27">
        <v>1101.55</v>
      </c>
      <c r="I193" s="27">
        <v>346.99</v>
      </c>
      <c r="J193" s="29">
        <f t="shared" ca="1" si="11"/>
        <v>46097.457814583337</v>
      </c>
      <c r="K193" s="27">
        <f t="shared" si="12"/>
        <v>754.56</v>
      </c>
      <c r="L193" s="30">
        <f>H193*(1-F193)-K193</f>
        <v>236.83500000000004</v>
      </c>
    </row>
    <row r="194" spans="1:12" x14ac:dyDescent="0.3">
      <c r="A194" s="26" t="s">
        <v>40</v>
      </c>
      <c r="B194" s="27" t="s">
        <v>23</v>
      </c>
      <c r="C194" s="27" t="s">
        <v>18</v>
      </c>
      <c r="D194" s="27" t="s">
        <v>39</v>
      </c>
      <c r="E194" s="27">
        <v>11</v>
      </c>
      <c r="F194" s="27">
        <v>0.15</v>
      </c>
      <c r="G194" s="28">
        <v>45549</v>
      </c>
      <c r="H194" s="27">
        <v>1154.33</v>
      </c>
      <c r="I194" s="27">
        <v>441.53</v>
      </c>
      <c r="J194" s="29">
        <f t="shared" ref="J194:J201" ca="1" si="13">NOW()</f>
        <v>46097.457814583337</v>
      </c>
      <c r="K194" s="27">
        <f t="shared" ref="K194:K201" si="14">H194-I194</f>
        <v>712.8</v>
      </c>
      <c r="L194" s="30">
        <f>H194*(1-F194)-K194</f>
        <v>268.38049999999998</v>
      </c>
    </row>
    <row r="195" spans="1:12" x14ac:dyDescent="0.3">
      <c r="A195" s="26" t="s">
        <v>67</v>
      </c>
      <c r="B195" s="27" t="s">
        <v>23</v>
      </c>
      <c r="C195" s="27" t="s">
        <v>11</v>
      </c>
      <c r="D195" s="27" t="s">
        <v>21</v>
      </c>
      <c r="E195" s="27">
        <v>19</v>
      </c>
      <c r="F195" s="27">
        <v>0.2</v>
      </c>
      <c r="G195" s="28">
        <v>45553</v>
      </c>
      <c r="H195" s="27">
        <v>1158.94</v>
      </c>
      <c r="I195" s="27">
        <v>231.79</v>
      </c>
      <c r="J195" s="29">
        <f t="shared" ca="1" si="13"/>
        <v>46097.457814583337</v>
      </c>
      <c r="K195" s="27">
        <f t="shared" si="14"/>
        <v>927.15000000000009</v>
      </c>
      <c r="L195" s="30">
        <f>H195*(1-F195)-K195</f>
        <v>1.9999999999527063E-3</v>
      </c>
    </row>
    <row r="196" spans="1:12" x14ac:dyDescent="0.3">
      <c r="A196" s="26" t="s">
        <v>58</v>
      </c>
      <c r="B196" s="27" t="s">
        <v>36</v>
      </c>
      <c r="C196" s="27" t="s">
        <v>11</v>
      </c>
      <c r="D196" s="27" t="s">
        <v>15</v>
      </c>
      <c r="E196" s="27">
        <v>4</v>
      </c>
      <c r="F196" s="27">
        <v>0.1</v>
      </c>
      <c r="G196" s="28">
        <v>45544</v>
      </c>
      <c r="H196" s="27">
        <v>1168.8900000000001</v>
      </c>
      <c r="I196" s="27">
        <v>526</v>
      </c>
      <c r="J196" s="29">
        <f t="shared" ca="1" si="13"/>
        <v>46097.457814583337</v>
      </c>
      <c r="K196" s="27">
        <f t="shared" si="14"/>
        <v>642.8900000000001</v>
      </c>
      <c r="L196" s="30">
        <f>H196*(1-F196)-K196</f>
        <v>409.1110000000001</v>
      </c>
    </row>
    <row r="197" spans="1:12" x14ac:dyDescent="0.3">
      <c r="A197" s="26" t="s">
        <v>41</v>
      </c>
      <c r="B197" s="27" t="s">
        <v>61</v>
      </c>
      <c r="C197" s="27" t="s">
        <v>11</v>
      </c>
      <c r="D197" s="27" t="s">
        <v>27</v>
      </c>
      <c r="E197" s="27">
        <v>7</v>
      </c>
      <c r="F197" s="27">
        <v>0.15</v>
      </c>
      <c r="G197" s="28">
        <v>45559</v>
      </c>
      <c r="H197" s="27">
        <v>1172.97</v>
      </c>
      <c r="I197" s="27">
        <v>348.96</v>
      </c>
      <c r="J197" s="29">
        <f t="shared" ca="1" si="13"/>
        <v>46097.457814583337</v>
      </c>
      <c r="K197" s="27">
        <f t="shared" si="14"/>
        <v>824.01</v>
      </c>
      <c r="L197" s="30">
        <f>H197*(1-F197)-K197</f>
        <v>173.0145</v>
      </c>
    </row>
    <row r="198" spans="1:12" x14ac:dyDescent="0.3">
      <c r="A198" s="26" t="s">
        <v>57</v>
      </c>
      <c r="B198" s="27" t="s">
        <v>23</v>
      </c>
      <c r="C198" s="27" t="s">
        <v>24</v>
      </c>
      <c r="D198" s="27" t="s">
        <v>15</v>
      </c>
      <c r="E198" s="27">
        <v>11</v>
      </c>
      <c r="F198" s="27">
        <v>0.1</v>
      </c>
      <c r="G198" s="28">
        <v>45559</v>
      </c>
      <c r="H198" s="27">
        <v>1205.82</v>
      </c>
      <c r="I198" s="27">
        <v>542.62</v>
      </c>
      <c r="J198" s="29">
        <f t="shared" ca="1" si="13"/>
        <v>46097.457814583337</v>
      </c>
      <c r="K198" s="27">
        <f t="shared" si="14"/>
        <v>663.19999999999993</v>
      </c>
      <c r="L198" s="30">
        <f>H198*(1-F198)-K198</f>
        <v>422.03800000000012</v>
      </c>
    </row>
    <row r="199" spans="1:12" x14ac:dyDescent="0.3">
      <c r="A199" s="26" t="s">
        <v>49</v>
      </c>
      <c r="B199" s="27" t="s">
        <v>50</v>
      </c>
      <c r="C199" s="27" t="s">
        <v>20</v>
      </c>
      <c r="D199" s="27" t="s">
        <v>12</v>
      </c>
      <c r="E199" s="27">
        <v>16</v>
      </c>
      <c r="F199" s="27">
        <v>0.05</v>
      </c>
      <c r="G199" s="28">
        <v>45549</v>
      </c>
      <c r="H199" s="27">
        <v>1264.49</v>
      </c>
      <c r="I199" s="27">
        <v>480.51</v>
      </c>
      <c r="J199" s="29">
        <f t="shared" ca="1" si="13"/>
        <v>46097.457814583337</v>
      </c>
      <c r="K199" s="27">
        <f t="shared" si="14"/>
        <v>783.98</v>
      </c>
      <c r="L199" s="30">
        <f>H199*(1-F199)-K199</f>
        <v>417.28549999999996</v>
      </c>
    </row>
    <row r="200" spans="1:12" x14ac:dyDescent="0.3">
      <c r="A200" s="26" t="s">
        <v>67</v>
      </c>
      <c r="B200" s="27" t="s">
        <v>10</v>
      </c>
      <c r="C200" s="27" t="s">
        <v>20</v>
      </c>
      <c r="D200" s="27" t="s">
        <v>21</v>
      </c>
      <c r="E200" s="27">
        <v>17</v>
      </c>
      <c r="F200" s="27">
        <v>0</v>
      </c>
      <c r="G200" s="28">
        <v>45544</v>
      </c>
      <c r="H200" s="27">
        <v>1335.87</v>
      </c>
      <c r="I200" s="27">
        <v>333.97</v>
      </c>
      <c r="J200" s="29">
        <f t="shared" ca="1" si="13"/>
        <v>46097.457814583337</v>
      </c>
      <c r="K200" s="27">
        <f t="shared" si="14"/>
        <v>1001.8999999999999</v>
      </c>
      <c r="L200" s="30">
        <f>H200*(1-F200)-K200</f>
        <v>333.97</v>
      </c>
    </row>
    <row r="201" spans="1:12" x14ac:dyDescent="0.3">
      <c r="A201" s="31" t="s">
        <v>72</v>
      </c>
      <c r="B201" s="32" t="s">
        <v>64</v>
      </c>
      <c r="C201" s="32" t="s">
        <v>11</v>
      </c>
      <c r="D201" s="32" t="s">
        <v>39</v>
      </c>
      <c r="E201" s="32">
        <v>19</v>
      </c>
      <c r="F201" s="32">
        <v>0</v>
      </c>
      <c r="G201" s="33">
        <v>45547</v>
      </c>
      <c r="H201" s="32">
        <v>1443.98</v>
      </c>
      <c r="I201" s="32">
        <v>649.79</v>
      </c>
      <c r="J201" s="34">
        <f t="shared" ca="1" si="13"/>
        <v>46097.457814583337</v>
      </c>
      <c r="K201" s="32">
        <f t="shared" si="14"/>
        <v>794.19</v>
      </c>
      <c r="L201" s="35">
        <f>H201*(1-F201)-K201</f>
        <v>649.79</v>
      </c>
    </row>
  </sheetData>
  <scenarios current="0" show="0" sqref="Q10">
    <scenario name="discount" locked="1" count="5" user="DEVANSHI" comment="Created by DEVANSHI on 16-03-2026">
      <inputCells r="O10" val="5"/>
      <inputCells r="O11" val="7"/>
      <inputCells r="O12" val="15"/>
      <inputCells r="O13" val="20"/>
      <inputCells r="O14" val="25"/>
    </scenario>
  </scenarios>
  <conditionalFormatting sqref="H1:H201">
    <cfRule type="top10" dxfId="2" priority="5" rank="10"/>
  </conditionalFormatting>
  <conditionalFormatting sqref="H2:H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0E30-5E7E-41F3-981B-BA25043BB302}">
  <dimension ref="A1:O21"/>
  <sheetViews>
    <sheetView topLeftCell="B1" workbookViewId="0">
      <selection activeCell="R11" sqref="R11"/>
    </sheetView>
  </sheetViews>
  <sheetFormatPr defaultRowHeight="14.4" x14ac:dyDescent="0.3"/>
  <cols>
    <col min="11" max="11" width="16.109375" bestFit="1" customWidth="1"/>
    <col min="12" max="12" width="12.6640625" bestFit="1" customWidth="1"/>
    <col min="14" max="14" width="16.109375" bestFit="1" customWidth="1"/>
    <col min="15" max="15" width="12" bestFit="1" customWidth="1"/>
  </cols>
  <sheetData>
    <row r="1" spans="1:15" x14ac:dyDescent="0.3">
      <c r="A1" s="4" t="s">
        <v>76</v>
      </c>
      <c r="B1" s="5"/>
      <c r="C1" s="5"/>
      <c r="D1" s="5"/>
      <c r="E1" s="5"/>
      <c r="F1" s="5"/>
      <c r="G1" s="5"/>
      <c r="H1" s="5"/>
      <c r="I1" s="6"/>
      <c r="K1" s="16" t="s">
        <v>4</v>
      </c>
      <c r="L1" s="16"/>
      <c r="N1" s="16" t="s">
        <v>8</v>
      </c>
      <c r="O1" s="16"/>
    </row>
    <row r="2" spans="1:15" x14ac:dyDescent="0.3">
      <c r="A2" s="7"/>
      <c r="B2" s="1"/>
      <c r="C2" s="1"/>
      <c r="D2" s="1"/>
      <c r="E2" s="1"/>
      <c r="F2" s="1"/>
      <c r="G2" s="1"/>
      <c r="H2" s="1"/>
      <c r="I2" s="8"/>
    </row>
    <row r="3" spans="1:15" x14ac:dyDescent="0.3">
      <c r="A3" s="9" t="s">
        <v>77</v>
      </c>
      <c r="B3" s="2"/>
      <c r="C3" s="1"/>
      <c r="D3" s="1"/>
      <c r="E3" s="1"/>
      <c r="F3" s="1"/>
      <c r="G3" s="1"/>
      <c r="H3" s="1"/>
      <c r="I3" s="8"/>
      <c r="K3" t="s">
        <v>101</v>
      </c>
      <c r="L3">
        <v>976.08879999999988</v>
      </c>
      <c r="N3" t="s">
        <v>101</v>
      </c>
      <c r="O3">
        <v>341.4350500000001</v>
      </c>
    </row>
    <row r="4" spans="1:15" x14ac:dyDescent="0.3">
      <c r="A4" s="7" t="s">
        <v>78</v>
      </c>
      <c r="B4" s="1">
        <v>0.77340306414342641</v>
      </c>
      <c r="C4" s="1"/>
      <c r="D4" s="1"/>
      <c r="E4" s="1"/>
      <c r="F4" s="1"/>
      <c r="G4" s="1"/>
      <c r="H4" s="1"/>
      <c r="I4" s="8"/>
      <c r="K4" t="s">
        <v>81</v>
      </c>
      <c r="L4">
        <v>21.161850448978317</v>
      </c>
      <c r="N4" t="s">
        <v>81</v>
      </c>
      <c r="O4">
        <v>9.6001196472332104</v>
      </c>
    </row>
    <row r="5" spans="1:15" x14ac:dyDescent="0.3">
      <c r="A5" s="7" t="s">
        <v>79</v>
      </c>
      <c r="B5" s="1">
        <v>0.5981522996264409</v>
      </c>
      <c r="C5" s="1"/>
      <c r="D5" s="1"/>
      <c r="E5" s="1"/>
      <c r="F5" s="1"/>
      <c r="G5" s="1"/>
      <c r="H5" s="1"/>
      <c r="I5" s="8"/>
      <c r="K5" t="s">
        <v>102</v>
      </c>
      <c r="L5">
        <v>976.72</v>
      </c>
      <c r="N5" t="s">
        <v>102</v>
      </c>
      <c r="O5">
        <v>332.255</v>
      </c>
    </row>
    <row r="6" spans="1:15" x14ac:dyDescent="0.3">
      <c r="A6" s="7" t="s">
        <v>80</v>
      </c>
      <c r="B6" s="1">
        <v>0.59612276578617041</v>
      </c>
      <c r="C6" s="1"/>
      <c r="D6" s="1"/>
      <c r="E6" s="1"/>
      <c r="F6" s="1"/>
      <c r="G6" s="1"/>
      <c r="H6" s="1"/>
      <c r="I6" s="8"/>
      <c r="K6" t="s">
        <v>103</v>
      </c>
      <c r="L6" t="e">
        <v>#N/A</v>
      </c>
      <c r="N6" t="s">
        <v>103</v>
      </c>
      <c r="O6" t="e">
        <v>#N/A</v>
      </c>
    </row>
    <row r="7" spans="1:15" x14ac:dyDescent="0.3">
      <c r="A7" s="7" t="s">
        <v>81</v>
      </c>
      <c r="B7" s="1">
        <v>86.281230529665123</v>
      </c>
      <c r="C7" s="1"/>
      <c r="D7" s="1"/>
      <c r="E7" s="1"/>
      <c r="F7" s="1"/>
      <c r="G7" s="1"/>
      <c r="H7" s="1"/>
      <c r="I7" s="8"/>
      <c r="K7" t="s">
        <v>104</v>
      </c>
      <c r="L7">
        <v>299.27375909856306</v>
      </c>
      <c r="N7" t="s">
        <v>104</v>
      </c>
      <c r="O7">
        <v>135.7661940552162</v>
      </c>
    </row>
    <row r="8" spans="1:15" x14ac:dyDescent="0.3">
      <c r="A8" s="7" t="s">
        <v>82</v>
      </c>
      <c r="B8" s="1">
        <v>200</v>
      </c>
      <c r="C8" s="1"/>
      <c r="D8" s="1"/>
      <c r="E8" s="1"/>
      <c r="F8" s="1"/>
      <c r="G8" s="1"/>
      <c r="H8" s="1"/>
      <c r="I8" s="8"/>
      <c r="K8" t="s">
        <v>105</v>
      </c>
      <c r="L8">
        <v>89564.782884984757</v>
      </c>
      <c r="N8" t="s">
        <v>105</v>
      </c>
      <c r="O8">
        <v>18432.45944823862</v>
      </c>
    </row>
    <row r="9" spans="1:15" x14ac:dyDescent="0.3">
      <c r="A9" s="7"/>
      <c r="B9" s="1"/>
      <c r="C9" s="1"/>
      <c r="D9" s="1"/>
      <c r="E9" s="1"/>
      <c r="F9" s="1"/>
      <c r="G9" s="1"/>
      <c r="H9" s="1"/>
      <c r="I9" s="8"/>
      <c r="K9" t="s">
        <v>106</v>
      </c>
      <c r="L9">
        <v>-8.8595231919740502E-2</v>
      </c>
      <c r="N9" t="s">
        <v>106</v>
      </c>
      <c r="O9">
        <v>0.26450643813582175</v>
      </c>
    </row>
    <row r="10" spans="1:15" x14ac:dyDescent="0.3">
      <c r="A10" s="7" t="s">
        <v>83</v>
      </c>
      <c r="B10" s="1"/>
      <c r="C10" s="1"/>
      <c r="D10" s="1"/>
      <c r="E10" s="1"/>
      <c r="F10" s="1"/>
      <c r="G10" s="1"/>
      <c r="H10" s="1"/>
      <c r="I10" s="8"/>
      <c r="K10" t="s">
        <v>107</v>
      </c>
      <c r="L10">
        <v>0.14685796564193354</v>
      </c>
      <c r="N10" t="s">
        <v>107</v>
      </c>
      <c r="O10">
        <v>0.57339636063424526</v>
      </c>
    </row>
    <row r="11" spans="1:15" x14ac:dyDescent="0.3">
      <c r="A11" s="10"/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1"/>
      <c r="H11" s="1"/>
      <c r="I11" s="8"/>
      <c r="K11" t="s">
        <v>108</v>
      </c>
      <c r="L11">
        <v>1665.15</v>
      </c>
      <c r="N11" t="s">
        <v>108</v>
      </c>
      <c r="O11">
        <v>704.83</v>
      </c>
    </row>
    <row r="12" spans="1:15" x14ac:dyDescent="0.3">
      <c r="A12" s="7" t="s">
        <v>84</v>
      </c>
      <c r="B12" s="1">
        <v>1</v>
      </c>
      <c r="C12" s="1">
        <v>2194058.183340284</v>
      </c>
      <c r="D12" s="1">
        <v>2194058.183340284</v>
      </c>
      <c r="E12" s="1">
        <v>294.72398427548171</v>
      </c>
      <c r="F12" s="1">
        <v>4.6269367558905227E-41</v>
      </c>
      <c r="G12" s="1"/>
      <c r="H12" s="1"/>
      <c r="I12" s="8"/>
      <c r="K12" t="s">
        <v>109</v>
      </c>
      <c r="L12">
        <v>258.51</v>
      </c>
      <c r="N12" t="s">
        <v>109</v>
      </c>
      <c r="O12">
        <v>64.63</v>
      </c>
    </row>
    <row r="13" spans="1:15" x14ac:dyDescent="0.3">
      <c r="A13" s="7" t="s">
        <v>85</v>
      </c>
      <c r="B13" s="1">
        <v>198</v>
      </c>
      <c r="C13" s="1">
        <v>1474001.2468592168</v>
      </c>
      <c r="D13" s="1">
        <v>7444.4507417132163</v>
      </c>
      <c r="E13" s="1"/>
      <c r="F13" s="1"/>
      <c r="G13" s="1"/>
      <c r="H13" s="1"/>
      <c r="I13" s="8"/>
      <c r="K13" t="s">
        <v>110</v>
      </c>
      <c r="L13">
        <v>1923.66</v>
      </c>
      <c r="N13" t="s">
        <v>110</v>
      </c>
      <c r="O13">
        <v>769.46</v>
      </c>
    </row>
    <row r="14" spans="1:15" x14ac:dyDescent="0.3">
      <c r="A14" s="7" t="s">
        <v>86</v>
      </c>
      <c r="B14" s="1">
        <v>199</v>
      </c>
      <c r="C14" s="1">
        <v>3668059.4301995011</v>
      </c>
      <c r="D14" s="1"/>
      <c r="E14" s="1"/>
      <c r="F14" s="1"/>
      <c r="G14" s="1"/>
      <c r="H14" s="1"/>
      <c r="I14" s="8"/>
      <c r="K14" t="s">
        <v>111</v>
      </c>
      <c r="L14">
        <v>195217.75999999998</v>
      </c>
      <c r="N14" t="s">
        <v>111</v>
      </c>
      <c r="O14">
        <v>68287.010000000024</v>
      </c>
    </row>
    <row r="15" spans="1:15" ht="15" thickBot="1" x14ac:dyDescent="0.35">
      <c r="A15" s="7"/>
      <c r="B15" s="1"/>
      <c r="C15" s="1"/>
      <c r="D15" s="1"/>
      <c r="E15" s="1"/>
      <c r="F15" s="1"/>
      <c r="G15" s="1"/>
      <c r="H15" s="1"/>
      <c r="I15" s="8"/>
      <c r="K15" s="15" t="s">
        <v>112</v>
      </c>
      <c r="L15" s="15">
        <v>200</v>
      </c>
      <c r="N15" s="15" t="s">
        <v>112</v>
      </c>
      <c r="O15" s="15">
        <v>200</v>
      </c>
    </row>
    <row r="16" spans="1:15" x14ac:dyDescent="0.3">
      <c r="A16" s="10"/>
      <c r="B16" s="3" t="s">
        <v>93</v>
      </c>
      <c r="C16" s="3" t="s">
        <v>81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98</v>
      </c>
      <c r="I16" s="11" t="s">
        <v>99</v>
      </c>
    </row>
    <row r="17" spans="1:9" x14ac:dyDescent="0.3">
      <c r="A17" s="7" t="s">
        <v>87</v>
      </c>
      <c r="B17" s="1">
        <v>-1.0315504901910799</v>
      </c>
      <c r="C17" s="1">
        <v>20.860617005445494</v>
      </c>
      <c r="D17" s="1">
        <v>-4.944966344580326E-2</v>
      </c>
      <c r="E17" s="1">
        <v>0.9606107969690767</v>
      </c>
      <c r="F17" s="1">
        <v>-42.169051823378886</v>
      </c>
      <c r="G17" s="1">
        <v>40.105950842996727</v>
      </c>
      <c r="H17" s="1">
        <v>-42.169051823378886</v>
      </c>
      <c r="I17" s="8">
        <v>40.105950842996727</v>
      </c>
    </row>
    <row r="18" spans="1:9" x14ac:dyDescent="0.3">
      <c r="A18" s="7" t="s">
        <v>100</v>
      </c>
      <c r="B18" s="1">
        <v>0.35085598819512243</v>
      </c>
      <c r="C18" s="1">
        <v>2.0437188630135616E-2</v>
      </c>
      <c r="D18" s="1">
        <v>17.167527028535051</v>
      </c>
      <c r="E18" s="1">
        <v>4.6269367558907205E-41</v>
      </c>
      <c r="F18" s="1">
        <v>0.31055349501865753</v>
      </c>
      <c r="G18" s="1">
        <v>0.39115848137158732</v>
      </c>
      <c r="H18" s="1">
        <v>0.31055349501865753</v>
      </c>
      <c r="I18" s="8">
        <v>0.39115848137158732</v>
      </c>
    </row>
    <row r="19" spans="1:9" x14ac:dyDescent="0.3">
      <c r="A19" s="7"/>
      <c r="B19" s="1"/>
      <c r="C19" s="1"/>
      <c r="D19" s="1"/>
      <c r="E19" s="1"/>
      <c r="F19" s="1"/>
      <c r="G19" s="1"/>
      <c r="H19" s="1"/>
      <c r="I19" s="8"/>
    </row>
    <row r="20" spans="1:9" x14ac:dyDescent="0.3">
      <c r="A20" s="7"/>
      <c r="B20" s="1"/>
      <c r="C20" s="1"/>
      <c r="D20" s="1"/>
      <c r="E20" s="1"/>
      <c r="F20" s="1"/>
      <c r="G20" s="1"/>
      <c r="H20" s="1"/>
      <c r="I20" s="8"/>
    </row>
    <row r="21" spans="1:9" ht="15" thickBot="1" x14ac:dyDescent="0.35">
      <c r="A21" s="12"/>
      <c r="B21" s="13"/>
      <c r="C21" s="13"/>
      <c r="D21" s="13"/>
      <c r="E21" s="13"/>
      <c r="F21" s="13"/>
      <c r="G21" s="13"/>
      <c r="H21" s="13"/>
      <c r="I21" s="14"/>
    </row>
  </sheetData>
  <sortState xmlns:xlrd2="http://schemas.microsoft.com/office/spreadsheetml/2017/richdata2" ref="A25:B224">
    <sortCondition ref="A25:A2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05FC-1FBF-43C9-B56F-C9FD7687AFAB}">
  <dimension ref="A3:H26"/>
  <sheetViews>
    <sheetView workbookViewId="0">
      <selection activeCell="G22" sqref="G22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" bestFit="1" customWidth="1"/>
    <col min="4" max="4" width="12.44140625" bestFit="1" customWidth="1"/>
    <col min="5" max="5" width="11.5546875" bestFit="1" customWidth="1"/>
    <col min="6" max="6" width="13.77734375" bestFit="1" customWidth="1"/>
    <col min="7" max="7" width="13.109375" bestFit="1" customWidth="1"/>
    <col min="8" max="8" width="11.5546875" bestFit="1" customWidth="1"/>
  </cols>
  <sheetData>
    <row r="3" spans="1:8" x14ac:dyDescent="0.3">
      <c r="A3" s="17" t="s">
        <v>120</v>
      </c>
      <c r="B3" s="17" t="s">
        <v>117</v>
      </c>
    </row>
    <row r="4" spans="1:8" x14ac:dyDescent="0.3">
      <c r="A4" s="17" t="s">
        <v>119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118</v>
      </c>
    </row>
    <row r="5" spans="1:8" x14ac:dyDescent="0.3">
      <c r="A5" s="18" t="s">
        <v>34</v>
      </c>
      <c r="B5">
        <v>11297.150000000001</v>
      </c>
      <c r="C5">
        <v>12200.26</v>
      </c>
      <c r="D5">
        <v>6621.2400000000007</v>
      </c>
      <c r="E5">
        <v>4876.96</v>
      </c>
      <c r="F5">
        <v>8472.7199999999993</v>
      </c>
      <c r="G5">
        <v>43468.330000000009</v>
      </c>
    </row>
    <row r="6" spans="1:8" x14ac:dyDescent="0.3">
      <c r="A6" s="18" t="s">
        <v>18</v>
      </c>
      <c r="B6">
        <v>11389.09</v>
      </c>
      <c r="C6">
        <v>2401.4499999999998</v>
      </c>
      <c r="D6">
        <v>2869.54</v>
      </c>
      <c r="E6">
        <v>7592.3399999999992</v>
      </c>
      <c r="F6">
        <v>8189.2199999999993</v>
      </c>
      <c r="G6">
        <v>32441.64</v>
      </c>
    </row>
    <row r="7" spans="1:8" x14ac:dyDescent="0.3">
      <c r="A7" s="18" t="s">
        <v>24</v>
      </c>
      <c r="B7">
        <v>8037.01</v>
      </c>
      <c r="C7">
        <v>8422.82</v>
      </c>
      <c r="D7">
        <v>8191.71</v>
      </c>
      <c r="E7">
        <v>6978.08</v>
      </c>
      <c r="F7">
        <v>3345.8</v>
      </c>
      <c r="G7">
        <v>34975.420000000006</v>
      </c>
    </row>
    <row r="8" spans="1:8" x14ac:dyDescent="0.3">
      <c r="A8" s="18" t="s">
        <v>20</v>
      </c>
      <c r="B8">
        <v>9588.0400000000009</v>
      </c>
      <c r="C8">
        <v>8393.630000000001</v>
      </c>
      <c r="D8">
        <v>11989.07</v>
      </c>
      <c r="E8">
        <v>7982.73</v>
      </c>
      <c r="F8">
        <v>2295.3199999999997</v>
      </c>
      <c r="G8">
        <v>40248.79</v>
      </c>
    </row>
    <row r="9" spans="1:8" x14ac:dyDescent="0.3">
      <c r="A9" s="18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8" x14ac:dyDescent="0.3">
      <c r="A10" s="18" t="s">
        <v>118</v>
      </c>
      <c r="B10">
        <v>47002.46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  <row r="13" spans="1:8" x14ac:dyDescent="0.3">
      <c r="A13" s="17" t="s">
        <v>2</v>
      </c>
      <c r="B13" t="s">
        <v>120</v>
      </c>
      <c r="D13" s="17" t="s">
        <v>136</v>
      </c>
      <c r="E13" t="s">
        <v>120</v>
      </c>
      <c r="G13" s="17" t="s">
        <v>137</v>
      </c>
      <c r="H13" t="s">
        <v>135</v>
      </c>
    </row>
    <row r="14" spans="1:8" x14ac:dyDescent="0.3">
      <c r="A14" s="18" t="s">
        <v>34</v>
      </c>
      <c r="B14">
        <v>43468.329999999987</v>
      </c>
      <c r="D14" s="18" t="s">
        <v>123</v>
      </c>
      <c r="E14" s="19">
        <v>14914.649999999998</v>
      </c>
      <c r="G14" s="18" t="s">
        <v>12</v>
      </c>
      <c r="H14" s="19">
        <v>16901.63</v>
      </c>
    </row>
    <row r="15" spans="1:8" x14ac:dyDescent="0.3">
      <c r="A15" s="18" t="s">
        <v>18</v>
      </c>
      <c r="B15">
        <v>32441.64</v>
      </c>
      <c r="D15" s="18" t="s">
        <v>124</v>
      </c>
      <c r="E15" s="19">
        <v>14006.359999999999</v>
      </c>
      <c r="G15" s="18" t="s">
        <v>15</v>
      </c>
      <c r="H15" s="19">
        <v>18784.489999999998</v>
      </c>
    </row>
    <row r="16" spans="1:8" x14ac:dyDescent="0.3">
      <c r="A16" s="18" t="s">
        <v>24</v>
      </c>
      <c r="B16">
        <v>34975.42</v>
      </c>
      <c r="D16" s="18" t="s">
        <v>125</v>
      </c>
      <c r="E16" s="19">
        <v>17655.22</v>
      </c>
      <c r="G16" s="18" t="s">
        <v>21</v>
      </c>
      <c r="H16" s="19">
        <v>9182.1500000000015</v>
      </c>
    </row>
    <row r="17" spans="1:8" x14ac:dyDescent="0.3">
      <c r="A17" s="18" t="s">
        <v>20</v>
      </c>
      <c r="B17">
        <v>40248.790000000008</v>
      </c>
      <c r="D17" s="18" t="s">
        <v>126</v>
      </c>
      <c r="E17" s="19">
        <v>22242.129999999997</v>
      </c>
      <c r="G17" s="18" t="s">
        <v>27</v>
      </c>
      <c r="H17" s="19">
        <v>11579.139999999998</v>
      </c>
    </row>
    <row r="18" spans="1:8" x14ac:dyDescent="0.3">
      <c r="A18" s="18" t="s">
        <v>11</v>
      </c>
      <c r="B18">
        <v>44083.580000000016</v>
      </c>
      <c r="D18" s="18" t="s">
        <v>127</v>
      </c>
      <c r="E18" s="19">
        <v>18507.339999999997</v>
      </c>
      <c r="G18" s="18" t="s">
        <v>39</v>
      </c>
      <c r="H18" s="19">
        <v>11839.599999999999</v>
      </c>
    </row>
    <row r="19" spans="1:8" x14ac:dyDescent="0.3">
      <c r="A19" s="18" t="s">
        <v>118</v>
      </c>
      <c r="B19">
        <v>195217.76</v>
      </c>
      <c r="D19" s="18" t="s">
        <v>128</v>
      </c>
      <c r="E19" s="19">
        <v>20187.509999999998</v>
      </c>
      <c r="G19" s="18" t="s">
        <v>118</v>
      </c>
      <c r="H19" s="19">
        <v>68287.009999999995</v>
      </c>
    </row>
    <row r="20" spans="1:8" x14ac:dyDescent="0.3">
      <c r="D20" s="18" t="s">
        <v>129</v>
      </c>
      <c r="E20" s="19">
        <v>11609.039999999999</v>
      </c>
    </row>
    <row r="21" spans="1:8" x14ac:dyDescent="0.3">
      <c r="D21" s="18" t="s">
        <v>130</v>
      </c>
      <c r="E21" s="19">
        <v>10091.700000000001</v>
      </c>
    </row>
    <row r="22" spans="1:8" x14ac:dyDescent="0.3">
      <c r="D22" s="18" t="s">
        <v>131</v>
      </c>
      <c r="E22" s="19">
        <v>20533.5</v>
      </c>
    </row>
    <row r="23" spans="1:8" x14ac:dyDescent="0.3">
      <c r="D23" s="18" t="s">
        <v>132</v>
      </c>
      <c r="E23" s="19">
        <v>14215.240000000002</v>
      </c>
    </row>
    <row r="24" spans="1:8" x14ac:dyDescent="0.3">
      <c r="D24" s="18" t="s">
        <v>133</v>
      </c>
      <c r="E24" s="19">
        <v>20135.030000000002</v>
      </c>
    </row>
    <row r="25" spans="1:8" x14ac:dyDescent="0.3">
      <c r="D25" s="18" t="s">
        <v>134</v>
      </c>
      <c r="E25" s="19">
        <v>11120.04</v>
      </c>
    </row>
    <row r="26" spans="1:8" x14ac:dyDescent="0.3">
      <c r="D26" s="18" t="s">
        <v>118</v>
      </c>
      <c r="E26" s="19">
        <v>195217.75999999995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4A34-8BB8-4B8F-8A06-527F00BCB695}">
  <dimension ref="A1"/>
  <sheetViews>
    <sheetView tabSelected="1" zoomScale="94" zoomScaleNormal="94" workbookViewId="0">
      <selection activeCell="AA21" sqref="AA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Summary data</vt:lpstr>
      <vt:lpstr>Pivot tables</vt:lpstr>
      <vt:lpstr>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Bacchhote</dc:creator>
  <cp:lastModifiedBy>Devanshi Bacchhote</cp:lastModifiedBy>
  <dcterms:created xsi:type="dcterms:W3CDTF">2026-03-12T09:12:45Z</dcterms:created>
  <dcterms:modified xsi:type="dcterms:W3CDTF">2026-03-16T05:35:04Z</dcterms:modified>
</cp:coreProperties>
</file>