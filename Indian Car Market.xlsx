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5da4ce7d2feaf9b2/Desktop/Excel_DA_DS/"/>
    </mc:Choice>
  </mc:AlternateContent>
  <xr:revisionPtr revIDLastSave="1452" documentId="8_{316F132C-1B9A-4FAA-8D2D-AB566E272D24}" xr6:coauthVersionLast="47" xr6:coauthVersionMax="47" xr10:uidLastSave="{8F38FFBA-DB31-4128-B8E9-5AF6EAC1E55D}"/>
  <bookViews>
    <workbookView xWindow="-108" yWindow="-108" windowWidth="23256" windowHeight="12456" activeTab="3" xr2:uid="{68A604AF-D2B1-4AD1-8248-DE29BCFC76CF}"/>
  </bookViews>
  <sheets>
    <sheet name="Dataset" sheetId="1" r:id="rId1"/>
    <sheet name="Clean data" sheetId="3" r:id="rId2"/>
    <sheet name="Pivot tables" sheetId="4" r:id="rId3"/>
    <sheet name="DashBoard" sheetId="2" r:id="rId4"/>
  </sheets>
  <definedNames>
    <definedName name="Slicer_Brand">#N/A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4" l="1"/>
  <c r="I27" i="4"/>
  <c r="C29" i="4"/>
</calcChain>
</file>

<file path=xl/sharedStrings.xml><?xml version="1.0" encoding="utf-8"?>
<sst xmlns="http://schemas.openxmlformats.org/spreadsheetml/2006/main" count="935" uniqueCount="87">
  <si>
    <t>Car_ID</t>
  </si>
  <si>
    <t>Brand</t>
  </si>
  <si>
    <t>Model</t>
  </si>
  <si>
    <t>Year</t>
  </si>
  <si>
    <t>Fuel_Type</t>
  </si>
  <si>
    <t>Transmission</t>
  </si>
  <si>
    <t>Price</t>
  </si>
  <si>
    <t>Mileage</t>
  </si>
  <si>
    <t>Engine_CC</t>
  </si>
  <si>
    <t>Seating_Capacity</t>
  </si>
  <si>
    <t>Service_Cost</t>
  </si>
  <si>
    <t>Toyota</t>
  </si>
  <si>
    <t>Innova</t>
  </si>
  <si>
    <t>CNG</t>
  </si>
  <si>
    <t>Manual</t>
  </si>
  <si>
    <t>Kia</t>
  </si>
  <si>
    <t>EV6</t>
  </si>
  <si>
    <t>Diesel</t>
  </si>
  <si>
    <t>Maruti Suzuki</t>
  </si>
  <si>
    <t>Dzire</t>
  </si>
  <si>
    <t>Petrol</t>
  </si>
  <si>
    <t>Honda</t>
  </si>
  <si>
    <t>Amaze</t>
  </si>
  <si>
    <t>City</t>
  </si>
  <si>
    <t>Electric</t>
  </si>
  <si>
    <t>Sonet</t>
  </si>
  <si>
    <t>Glanza</t>
  </si>
  <si>
    <t>Volkswagen</t>
  </si>
  <si>
    <t>Taigun</t>
  </si>
  <si>
    <t>Renault</t>
  </si>
  <si>
    <t>Lodgy</t>
  </si>
  <si>
    <t>Automatic</t>
  </si>
  <si>
    <t>Jazz</t>
  </si>
  <si>
    <t>Civic</t>
  </si>
  <si>
    <t>Kiger</t>
  </si>
  <si>
    <t>Mahindra</t>
  </si>
  <si>
    <t>Scorpio</t>
  </si>
  <si>
    <t>Tata Motors</t>
  </si>
  <si>
    <t>Punch</t>
  </si>
  <si>
    <t>Fortuner</t>
  </si>
  <si>
    <t>Skoda</t>
  </si>
  <si>
    <t>Kushaq</t>
  </si>
  <si>
    <t>Tiago</t>
  </si>
  <si>
    <t>Superb</t>
  </si>
  <si>
    <t>Camry</t>
  </si>
  <si>
    <t>XUV700</t>
  </si>
  <si>
    <t>Ertiga</t>
  </si>
  <si>
    <t>Altroz</t>
  </si>
  <si>
    <t>Harrier</t>
  </si>
  <si>
    <t>Carnival</t>
  </si>
  <si>
    <t>Polo</t>
  </si>
  <si>
    <t>Swift</t>
  </si>
  <si>
    <t>Hyundai</t>
  </si>
  <si>
    <t>Verna</t>
  </si>
  <si>
    <t>Slavia</t>
  </si>
  <si>
    <t>Nexon</t>
  </si>
  <si>
    <t>Virtus</t>
  </si>
  <si>
    <t>Tiguan</t>
  </si>
  <si>
    <t>Octavia</t>
  </si>
  <si>
    <t>Seltos</t>
  </si>
  <si>
    <t>Bolero</t>
  </si>
  <si>
    <t>Thar</t>
  </si>
  <si>
    <t>i10</t>
  </si>
  <si>
    <t>Venue</t>
  </si>
  <si>
    <t>Rapid</t>
  </si>
  <si>
    <t>Creta</t>
  </si>
  <si>
    <t>WR-V</t>
  </si>
  <si>
    <t>XUV300</t>
  </si>
  <si>
    <t>i20</t>
  </si>
  <si>
    <t>Urban Cruiser</t>
  </si>
  <si>
    <t>Vento</t>
  </si>
  <si>
    <t>Baleno</t>
  </si>
  <si>
    <t>Grand Total</t>
  </si>
  <si>
    <t>Count of Car_ID</t>
  </si>
  <si>
    <t>Brands</t>
  </si>
  <si>
    <t>Count of Model</t>
  </si>
  <si>
    <t>Average of Price</t>
  </si>
  <si>
    <t>Sum of Mileage</t>
  </si>
  <si>
    <t>Sum of Service_Cost</t>
  </si>
  <si>
    <t>Count of Car</t>
  </si>
  <si>
    <t>fuel type</t>
  </si>
  <si>
    <t>seats</t>
  </si>
  <si>
    <t>Count of cars</t>
  </si>
  <si>
    <t>Total sells</t>
  </si>
  <si>
    <t>Average of Mileage</t>
  </si>
  <si>
    <t>Fuel type</t>
  </si>
  <si>
    <t>EngineCC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</si>
</sst>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Aptos Narrow"/>
      <family val="2"/>
      <scheme val="minor"/>
    </font>
    <font>
      <b/>
      <sz val="11"/>
      <color theme="1"/>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2" fillId="0" borderId="0" xfId="0" applyFont="1" applyAlignment="1">
      <alignment vertical="center"/>
    </xf>
    <xf numFmtId="0" fontId="0" fillId="0" borderId="0" xfId="0" applyAlignment="1">
      <alignment horizontal="left" vertical="center" indent="1"/>
    </xf>
    <xf numFmtId="0" fontId="1" fillId="0" borderId="0" xfId="0" applyFont="1"/>
    <xf numFmtId="0" fontId="1" fillId="0" borderId="0" xfId="0" applyFont="1" applyAlignment="1">
      <alignment horizontal="left" vertical="center" inden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Market.xlsx]Pivot tables!avg price by brand</c:name>
    <c:fmtId val="4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2800" b="1"/>
              <a:t>Average Price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tables'!$A$27:$A$37</c:f>
              <c:strCache>
                <c:ptCount val="10"/>
                <c:pt idx="0">
                  <c:v>Honda</c:v>
                </c:pt>
                <c:pt idx="1">
                  <c:v>Hyundai</c:v>
                </c:pt>
                <c:pt idx="2">
                  <c:v>Kia</c:v>
                </c:pt>
                <c:pt idx="3">
                  <c:v>Mahindra</c:v>
                </c:pt>
                <c:pt idx="4">
                  <c:v>Maruti Suzuki</c:v>
                </c:pt>
                <c:pt idx="5">
                  <c:v>Renault</c:v>
                </c:pt>
                <c:pt idx="6">
                  <c:v>Skoda</c:v>
                </c:pt>
                <c:pt idx="7">
                  <c:v>Tata Motors</c:v>
                </c:pt>
                <c:pt idx="8">
                  <c:v>Toyota</c:v>
                </c:pt>
                <c:pt idx="9">
                  <c:v>Volkswagen</c:v>
                </c:pt>
              </c:strCache>
            </c:strRef>
          </c:cat>
          <c:val>
            <c:numRef>
              <c:f>'Pivot tables'!$B$27:$B$37</c:f>
              <c:numCache>
                <c:formatCode>General</c:formatCode>
                <c:ptCount val="10"/>
                <c:pt idx="0">
                  <c:v>1781666.6666666667</c:v>
                </c:pt>
                <c:pt idx="1">
                  <c:v>2262222.222222222</c:v>
                </c:pt>
                <c:pt idx="2">
                  <c:v>1855000</c:v>
                </c:pt>
                <c:pt idx="3">
                  <c:v>1875555.5555555555</c:v>
                </c:pt>
                <c:pt idx="4">
                  <c:v>1918333.3333333333</c:v>
                </c:pt>
                <c:pt idx="5">
                  <c:v>1180000</c:v>
                </c:pt>
                <c:pt idx="6">
                  <c:v>2110000</c:v>
                </c:pt>
                <c:pt idx="7">
                  <c:v>1607142.857142857</c:v>
                </c:pt>
                <c:pt idx="8">
                  <c:v>1848750</c:v>
                </c:pt>
                <c:pt idx="9">
                  <c:v>2295000</c:v>
                </c:pt>
              </c:numCache>
            </c:numRef>
          </c:val>
          <c:extLst>
            <c:ext xmlns:c16="http://schemas.microsoft.com/office/drawing/2014/chart" uri="{C3380CC4-5D6E-409C-BE32-E72D297353CC}">
              <c16:uniqueId val="{00000000-CB2C-4C06-9BA7-55FD87405B59}"/>
            </c:ext>
          </c:extLst>
        </c:ser>
        <c:dLbls>
          <c:showLegendKey val="0"/>
          <c:showVal val="0"/>
          <c:showCatName val="0"/>
          <c:showSerName val="0"/>
          <c:showPercent val="0"/>
          <c:showBubbleSize val="0"/>
        </c:dLbls>
        <c:gapWidth val="219"/>
        <c:overlap val="-27"/>
        <c:axId val="439050352"/>
        <c:axId val="439053232"/>
      </c:barChart>
      <c:catAx>
        <c:axId val="43905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439053232"/>
        <c:crosses val="autoZero"/>
        <c:auto val="1"/>
        <c:lblAlgn val="ctr"/>
        <c:lblOffset val="100"/>
        <c:noMultiLvlLbl val="0"/>
      </c:catAx>
      <c:valAx>
        <c:axId val="439053232"/>
        <c:scaling>
          <c:orientation val="minMax"/>
        </c:scaling>
        <c:delete val="1"/>
        <c:axPos val="l"/>
        <c:numFmt formatCode="General" sourceLinked="1"/>
        <c:majorTickMark val="none"/>
        <c:minorTickMark val="none"/>
        <c:tickLblPos val="nextTo"/>
        <c:crossAx val="43905035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Market.xlsx]Pivot tables!service cost by fuel</c:name>
    <c:fmtId val="32"/>
  </c:pivotSource>
  <c:chart>
    <c:title>
      <c:tx>
        <c:rich>
          <a:bodyPr rot="0" spcFirstLastPara="1" vertOverflow="ellipsis" vert="horz" wrap="square" anchor="ctr" anchorCtr="1"/>
          <a:lstStyle/>
          <a:p>
            <a:pPr algn="ctr" rtl="0">
              <a:defRPr lang="en-US" sz="2800" b="1" i="0" u="none" strike="noStrike" kern="1200" spc="0" baseline="0">
                <a:solidFill>
                  <a:sysClr val="windowText" lastClr="000000"/>
                </a:solidFill>
                <a:latin typeface="+mn-lt"/>
                <a:ea typeface="+mn-ea"/>
                <a:cs typeface="+mn-cs"/>
              </a:defRPr>
            </a:pPr>
            <a:r>
              <a:rPr lang="en-US" sz="2800" b="1" i="0" u="none" strike="noStrike" kern="1200" spc="0" baseline="0">
                <a:solidFill>
                  <a:sysClr val="windowText" lastClr="000000"/>
                </a:solidFill>
                <a:latin typeface="+mn-lt"/>
                <a:ea typeface="+mn-ea"/>
                <a:cs typeface="+mn-cs"/>
              </a:rPr>
              <a:t>Total Milage covered by Fuel</a:t>
            </a:r>
          </a:p>
          <a:p>
            <a:pPr algn="ctr" rtl="0">
              <a:defRPr lang="en-US" sz="2800" b="1">
                <a:solidFill>
                  <a:sysClr val="windowText" lastClr="000000"/>
                </a:solidFill>
              </a:defRPr>
            </a:pPr>
            <a:endParaRPr lang="en-US" sz="2800" b="1" i="0" u="none" strike="noStrike" kern="1200" spc="0" baseline="0">
              <a:solidFill>
                <a:sysClr val="windowText" lastClr="00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89281882551521E-2"/>
          <c:y val="0.2154452977817557"/>
          <c:w val="0.82730027514475479"/>
          <c:h val="0.68129686061062555"/>
        </c:manualLayout>
      </c:layout>
      <c:barChart>
        <c:barDir val="bar"/>
        <c:grouping val="clustered"/>
        <c:varyColors val="0"/>
        <c:ser>
          <c:idx val="0"/>
          <c:order val="0"/>
          <c:tx>
            <c:strRef>
              <c:f>'Pivot tables'!$H$40</c:f>
              <c:strCache>
                <c:ptCount val="1"/>
                <c:pt idx="0">
                  <c:v>Total</c:v>
                </c:pt>
              </c:strCache>
            </c:strRef>
          </c:tx>
          <c:spPr>
            <a:solidFill>
              <a:schemeClr val="accent1"/>
            </a:solidFill>
            <a:ln>
              <a:noFill/>
            </a:ln>
            <a:effectLst/>
          </c:spPr>
          <c:invertIfNegative val="0"/>
          <c:cat>
            <c:strRef>
              <c:f>'Pivot tables'!$G$41:$G$45</c:f>
              <c:strCache>
                <c:ptCount val="4"/>
                <c:pt idx="0">
                  <c:v>CNG</c:v>
                </c:pt>
                <c:pt idx="1">
                  <c:v>Diesel</c:v>
                </c:pt>
                <c:pt idx="2">
                  <c:v>Electric</c:v>
                </c:pt>
                <c:pt idx="3">
                  <c:v>Petrol</c:v>
                </c:pt>
              </c:strCache>
            </c:strRef>
          </c:cat>
          <c:val>
            <c:numRef>
              <c:f>'Pivot tables'!$H$41:$H$45</c:f>
              <c:numCache>
                <c:formatCode>"₹"\ #,##0</c:formatCode>
                <c:ptCount val="4"/>
                <c:pt idx="0">
                  <c:v>384100</c:v>
                </c:pt>
                <c:pt idx="1">
                  <c:v>511700</c:v>
                </c:pt>
                <c:pt idx="2">
                  <c:v>356300</c:v>
                </c:pt>
                <c:pt idx="3">
                  <c:v>283000</c:v>
                </c:pt>
              </c:numCache>
            </c:numRef>
          </c:val>
          <c:extLst>
            <c:ext xmlns:c16="http://schemas.microsoft.com/office/drawing/2014/chart" uri="{C3380CC4-5D6E-409C-BE32-E72D297353CC}">
              <c16:uniqueId val="{00000000-804C-49C0-A16E-74FCD8D6144F}"/>
            </c:ext>
          </c:extLst>
        </c:ser>
        <c:dLbls>
          <c:showLegendKey val="0"/>
          <c:showVal val="0"/>
          <c:showCatName val="0"/>
          <c:showSerName val="0"/>
          <c:showPercent val="0"/>
          <c:showBubbleSize val="0"/>
        </c:dLbls>
        <c:gapWidth val="182"/>
        <c:axId val="575150144"/>
        <c:axId val="575149664"/>
      </c:barChart>
      <c:catAx>
        <c:axId val="57515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149664"/>
        <c:crosses val="autoZero"/>
        <c:auto val="1"/>
        <c:lblAlgn val="ctr"/>
        <c:lblOffset val="100"/>
        <c:noMultiLvlLbl val="0"/>
      </c:catAx>
      <c:valAx>
        <c:axId val="5751496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15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Market.xlsx]Pivot tables!Total sale per transmission</c:name>
    <c:fmtId val="66"/>
  </c:pivotSource>
  <c:chart>
    <c:title>
      <c:tx>
        <c:rich>
          <a:bodyPr rot="0" spcFirstLastPara="1" vertOverflow="ellipsis" vert="horz" wrap="square" anchor="ctr" anchorCtr="1"/>
          <a:lstStyle/>
          <a:p>
            <a:pPr algn="ctr" rtl="0">
              <a:defRPr lang="en-US" sz="2800" b="1" i="0" u="none" strike="noStrike" kern="1200" spc="0" baseline="0">
                <a:solidFill>
                  <a:sysClr val="windowText" lastClr="000000"/>
                </a:solidFill>
                <a:latin typeface="+mn-lt"/>
                <a:ea typeface="+mn-ea"/>
                <a:cs typeface="+mn-cs"/>
              </a:defRPr>
            </a:pPr>
            <a:r>
              <a:rPr lang="en-US" sz="2800" b="1" i="0" u="none" strike="noStrike" kern="1200" spc="0" baseline="0">
                <a:solidFill>
                  <a:sysClr val="windowText" lastClr="000000"/>
                </a:solidFill>
                <a:latin typeface="+mn-lt"/>
                <a:ea typeface="+mn-ea"/>
                <a:cs typeface="+mn-cs"/>
              </a:rPr>
              <a:t>Transmission</a:t>
            </a:r>
          </a:p>
        </c:rich>
      </c:tx>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tables'!$H$34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4A-4D26-BAB5-52BE3DF7CC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4A-4D26-BAB5-52BE3DF7CCE7}"/>
              </c:ext>
            </c:extLst>
          </c:dPt>
          <c:cat>
            <c:strRef>
              <c:f>'Pivot tables'!$G$35:$G$37</c:f>
              <c:strCache>
                <c:ptCount val="2"/>
                <c:pt idx="0">
                  <c:v>Automatic</c:v>
                </c:pt>
                <c:pt idx="1">
                  <c:v>Manual</c:v>
                </c:pt>
              </c:strCache>
            </c:strRef>
          </c:cat>
          <c:val>
            <c:numRef>
              <c:f>'Pivot tables'!$H$35:$H$37</c:f>
              <c:numCache>
                <c:formatCode>General</c:formatCode>
                <c:ptCount val="2"/>
                <c:pt idx="0">
                  <c:v>1708750</c:v>
                </c:pt>
                <c:pt idx="1">
                  <c:v>2050576.923076923</c:v>
                </c:pt>
              </c:numCache>
            </c:numRef>
          </c:val>
          <c:extLst>
            <c:ext xmlns:c16="http://schemas.microsoft.com/office/drawing/2014/chart" uri="{C3380CC4-5D6E-409C-BE32-E72D297353CC}">
              <c16:uniqueId val="{00000004-C14A-4D26-BAB5-52BE3DF7CC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[Indian Car Market.xlsx]Pivot tables!sale of cars in year</c:name>
    <c:fmtId val="34"/>
  </c:pivotSource>
  <c:chart>
    <c:title>
      <c:tx>
        <c:rich>
          <a:bodyPr rot="0" spcFirstLastPara="1" vertOverflow="ellipsis" vert="horz" wrap="square" anchor="ctr" anchorCtr="1"/>
          <a:lstStyle/>
          <a:p>
            <a:pPr algn="ctr" rtl="0">
              <a:defRPr lang="en-US" sz="2800" b="1" i="0" u="none" strike="noStrike" kern="1200" spc="0" baseline="0">
                <a:solidFill>
                  <a:sysClr val="windowText" lastClr="000000"/>
                </a:solidFill>
                <a:latin typeface="+mn-lt"/>
                <a:ea typeface="+mn-ea"/>
                <a:cs typeface="+mn-cs"/>
              </a:defRPr>
            </a:pPr>
            <a:r>
              <a:rPr lang="en-US" sz="2800" b="1" i="0" u="none" strike="noStrike" kern="1200" spc="0" baseline="0">
                <a:solidFill>
                  <a:sysClr val="windowText" lastClr="000000"/>
                </a:solidFill>
                <a:latin typeface="+mn-lt"/>
                <a:ea typeface="+mn-ea"/>
                <a:cs typeface="+mn-cs"/>
              </a:rPr>
              <a:t>Year wise Total sell</a:t>
            </a:r>
          </a:p>
        </c:rich>
      </c:tx>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tables'!$K$26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tables'!$J$27:$J$37</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tables'!$K$27:$K$37</c:f>
              <c:numCache>
                <c:formatCode>General</c:formatCode>
                <c:ptCount val="10"/>
                <c:pt idx="0">
                  <c:v>15600000</c:v>
                </c:pt>
                <c:pt idx="1">
                  <c:v>22610000</c:v>
                </c:pt>
                <c:pt idx="2">
                  <c:v>17350000</c:v>
                </c:pt>
                <c:pt idx="3">
                  <c:v>22330000</c:v>
                </c:pt>
                <c:pt idx="4">
                  <c:v>15490000</c:v>
                </c:pt>
                <c:pt idx="5">
                  <c:v>27550000</c:v>
                </c:pt>
                <c:pt idx="6">
                  <c:v>11800000</c:v>
                </c:pt>
                <c:pt idx="7">
                  <c:v>26260000</c:v>
                </c:pt>
                <c:pt idx="8">
                  <c:v>17640000</c:v>
                </c:pt>
                <c:pt idx="9">
                  <c:v>12020000</c:v>
                </c:pt>
              </c:numCache>
            </c:numRef>
          </c:val>
          <c:smooth val="0"/>
          <c:extLst>
            <c:ext xmlns:c16="http://schemas.microsoft.com/office/drawing/2014/chart" uri="{C3380CC4-5D6E-409C-BE32-E72D297353CC}">
              <c16:uniqueId val="{00000000-04D2-4F8C-80B9-9DBAC84D531F}"/>
            </c:ext>
          </c:extLst>
        </c:ser>
        <c:dLbls>
          <c:dLblPos val="t"/>
          <c:showLegendKey val="0"/>
          <c:showVal val="1"/>
          <c:showCatName val="0"/>
          <c:showSerName val="0"/>
          <c:showPercent val="0"/>
          <c:showBubbleSize val="0"/>
        </c:dLbls>
        <c:smooth val="0"/>
        <c:axId val="575768944"/>
        <c:axId val="553814512"/>
      </c:lineChart>
      <c:catAx>
        <c:axId val="57576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3814512"/>
        <c:crosses val="autoZero"/>
        <c:auto val="1"/>
        <c:lblAlgn val="ctr"/>
        <c:lblOffset val="100"/>
        <c:noMultiLvlLbl val="0"/>
      </c:catAx>
      <c:valAx>
        <c:axId val="553814512"/>
        <c:scaling>
          <c:orientation val="minMax"/>
        </c:scaling>
        <c:delete val="1"/>
        <c:axPos val="l"/>
        <c:numFmt formatCode="General" sourceLinked="1"/>
        <c:majorTickMark val="none"/>
        <c:minorTickMark val="none"/>
        <c:tickLblPos val="nextTo"/>
        <c:crossAx val="57576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softEdge rad="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Market.xlsx]Pivot tables!service cost by fuel</c:name>
    <c:fmtId val="39"/>
  </c:pivotSource>
  <c:chart>
    <c:title>
      <c:tx>
        <c:rich>
          <a:bodyPr rot="0" spcFirstLastPara="1" vertOverflow="ellipsis" vert="horz" wrap="square" anchor="ctr" anchorCtr="1"/>
          <a:lstStyle/>
          <a:p>
            <a:pPr algn="ctr" rtl="0">
              <a:defRPr lang="en-IN" sz="2800" b="1" i="0" u="none" strike="noStrike" kern="1200" spc="0" baseline="0">
                <a:solidFill>
                  <a:sysClr val="windowText" lastClr="000000"/>
                </a:solidFill>
                <a:latin typeface="+mn-lt"/>
                <a:ea typeface="+mn-ea"/>
                <a:cs typeface="+mn-cs"/>
              </a:defRPr>
            </a:pPr>
            <a:r>
              <a:rPr lang="en-US" sz="2800" b="1" i="0" u="none" strike="noStrike" kern="1200" spc="0" baseline="0">
                <a:solidFill>
                  <a:sysClr val="windowText" lastClr="000000"/>
                </a:solidFill>
                <a:latin typeface="+mn-lt"/>
                <a:ea typeface="+mn-ea"/>
                <a:cs typeface="+mn-cs"/>
              </a:rPr>
              <a:t>Total service cost by Fuel </a:t>
            </a:r>
          </a:p>
        </c:rich>
      </c:tx>
      <c:overlay val="0"/>
      <c:spPr>
        <a:noFill/>
        <a:ln>
          <a:noFill/>
        </a:ln>
        <a:effectLst/>
      </c:spPr>
      <c:txPr>
        <a:bodyPr rot="0" spcFirstLastPara="1" vertOverflow="ellipsis" vert="horz" wrap="square" anchor="ctr" anchorCtr="1"/>
        <a:lstStyle/>
        <a:p>
          <a:pPr algn="ctr" rtl="0">
            <a:defRPr lang="en-IN" sz="2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tables'!$H$40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EE-4D84-B4FF-E7E18D5E42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EE-4D84-B4FF-E7E18D5E42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EE-4D84-B4FF-E7E18D5E42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EE-4D84-B4FF-E7E18D5E42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tables'!$G$41:$G$45</c:f>
              <c:strCache>
                <c:ptCount val="4"/>
                <c:pt idx="0">
                  <c:v>CNG</c:v>
                </c:pt>
                <c:pt idx="1">
                  <c:v>Diesel</c:v>
                </c:pt>
                <c:pt idx="2">
                  <c:v>Electric</c:v>
                </c:pt>
                <c:pt idx="3">
                  <c:v>Petrol</c:v>
                </c:pt>
              </c:strCache>
            </c:strRef>
          </c:cat>
          <c:val>
            <c:numRef>
              <c:f>'Pivot tables'!$H$41:$H$45</c:f>
              <c:numCache>
                <c:formatCode>"₹"\ #,##0</c:formatCode>
                <c:ptCount val="4"/>
                <c:pt idx="0">
                  <c:v>384100</c:v>
                </c:pt>
                <c:pt idx="1">
                  <c:v>511700</c:v>
                </c:pt>
                <c:pt idx="2">
                  <c:v>356300</c:v>
                </c:pt>
                <c:pt idx="3">
                  <c:v>283000</c:v>
                </c:pt>
              </c:numCache>
            </c:numRef>
          </c:val>
          <c:extLst>
            <c:ext xmlns:c16="http://schemas.microsoft.com/office/drawing/2014/chart" uri="{C3380CC4-5D6E-409C-BE32-E72D297353CC}">
              <c16:uniqueId val="{00000008-BFEE-4D84-B4FF-E7E18D5E42F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Market.xlsx]Pivot tables!Total of EngineCC</c:name>
    <c:fmtId val="69"/>
  </c:pivotSource>
  <c:chart>
    <c:title>
      <c:tx>
        <c:rich>
          <a:bodyPr rot="0" spcFirstLastPara="1" vertOverflow="ellipsis" vert="horz" wrap="square" anchor="ctr" anchorCtr="1"/>
          <a:lstStyle/>
          <a:p>
            <a:pPr algn="ctr" rtl="0">
              <a:defRPr lang="en-US" sz="2800" b="1" i="0" u="none" strike="noStrike" kern="1200" spc="0" baseline="0">
                <a:solidFill>
                  <a:sysClr val="windowText" lastClr="000000"/>
                </a:solidFill>
                <a:latin typeface="+mn-lt"/>
                <a:ea typeface="+mn-ea"/>
                <a:cs typeface="+mn-cs"/>
              </a:defRPr>
            </a:pPr>
            <a:r>
              <a:rPr lang="en-US" sz="2800" b="1" i="0" u="none" strike="noStrike" kern="1200" spc="0" baseline="0">
                <a:solidFill>
                  <a:sysClr val="windowText" lastClr="000000"/>
                </a:solidFill>
                <a:latin typeface="+mn-lt"/>
                <a:ea typeface="+mn-ea"/>
                <a:cs typeface="+mn-cs"/>
              </a:rPr>
              <a:t>Total EngineCC</a:t>
            </a:r>
          </a:p>
        </c:rich>
      </c:tx>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tables'!$B$40</c:f>
              <c:strCache>
                <c:ptCount val="1"/>
                <c:pt idx="0">
                  <c:v>Total</c:v>
                </c:pt>
              </c:strCache>
            </c:strRef>
          </c:tx>
          <c:spPr>
            <a:solidFill>
              <a:schemeClr val="accent1"/>
            </a:solidFill>
            <a:ln>
              <a:noFill/>
            </a:ln>
            <a:effectLst/>
            <a:sp3d/>
          </c:spPr>
          <c:invertIfNegative val="0"/>
          <c:cat>
            <c:strRef>
              <c:f>'Pivot tables'!$A$41:$A$47</c:f>
              <c:strCache>
                <c:ptCount val="6"/>
                <c:pt idx="0">
                  <c:v>1000</c:v>
                </c:pt>
                <c:pt idx="1">
                  <c:v>1200</c:v>
                </c:pt>
                <c:pt idx="2">
                  <c:v>1500</c:v>
                </c:pt>
                <c:pt idx="3">
                  <c:v>1800</c:v>
                </c:pt>
                <c:pt idx="4">
                  <c:v>2000</c:v>
                </c:pt>
                <c:pt idx="5">
                  <c:v>2500</c:v>
                </c:pt>
              </c:strCache>
            </c:strRef>
          </c:cat>
          <c:val>
            <c:numRef>
              <c:f>'Pivot tables'!$B$41:$B$47</c:f>
              <c:numCache>
                <c:formatCode>General</c:formatCode>
                <c:ptCount val="6"/>
                <c:pt idx="0">
                  <c:v>16</c:v>
                </c:pt>
                <c:pt idx="1">
                  <c:v>15</c:v>
                </c:pt>
                <c:pt idx="2">
                  <c:v>16</c:v>
                </c:pt>
                <c:pt idx="3">
                  <c:v>15</c:v>
                </c:pt>
                <c:pt idx="4">
                  <c:v>12</c:v>
                </c:pt>
                <c:pt idx="5">
                  <c:v>17</c:v>
                </c:pt>
              </c:numCache>
            </c:numRef>
          </c:val>
          <c:extLst>
            <c:ext xmlns:c16="http://schemas.microsoft.com/office/drawing/2014/chart" uri="{C3380CC4-5D6E-409C-BE32-E72D297353CC}">
              <c16:uniqueId val="{00000000-CBFB-475D-BEB0-CD1D8990C360}"/>
            </c:ext>
          </c:extLst>
        </c:ser>
        <c:dLbls>
          <c:showLegendKey val="0"/>
          <c:showVal val="0"/>
          <c:showCatName val="0"/>
          <c:showSerName val="0"/>
          <c:showPercent val="0"/>
          <c:showBubbleSize val="0"/>
        </c:dLbls>
        <c:gapWidth val="150"/>
        <c:shape val="box"/>
        <c:axId val="2065814607"/>
        <c:axId val="2065813647"/>
        <c:axId val="2116962495"/>
      </c:bar3DChart>
      <c:catAx>
        <c:axId val="206581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813647"/>
        <c:crosses val="autoZero"/>
        <c:auto val="1"/>
        <c:lblAlgn val="ctr"/>
        <c:lblOffset val="100"/>
        <c:noMultiLvlLbl val="0"/>
      </c:catAx>
      <c:valAx>
        <c:axId val="20658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814607"/>
        <c:crosses val="autoZero"/>
        <c:crossBetween val="between"/>
      </c:valAx>
      <c:serAx>
        <c:axId val="2116962495"/>
        <c:scaling>
          <c:orientation val="minMax"/>
        </c:scaling>
        <c:delete val="1"/>
        <c:axPos val="b"/>
        <c:majorTickMark val="none"/>
        <c:minorTickMark val="none"/>
        <c:tickLblPos val="nextTo"/>
        <c:crossAx val="206581364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Market.xlsx]Pivot tables!Brands and their transmission</c:name>
    <c:fmtId val="31"/>
  </c:pivotSource>
  <c:chart>
    <c:title>
      <c:tx>
        <c:rich>
          <a:bodyPr rot="0" spcFirstLastPara="1" vertOverflow="ellipsis" vert="horz" wrap="square" anchor="ctr" anchorCtr="1"/>
          <a:lstStyle/>
          <a:p>
            <a:pPr algn="ctr" rtl="0">
              <a:defRPr lang="en-IN" sz="2800" b="1" i="0" u="none" strike="noStrike" kern="1200" spc="0" baseline="0">
                <a:solidFill>
                  <a:sysClr val="windowText" lastClr="000000"/>
                </a:solidFill>
                <a:latin typeface="+mn-lt"/>
                <a:ea typeface="+mn-ea"/>
                <a:cs typeface="+mn-cs"/>
              </a:defRPr>
            </a:pPr>
            <a:r>
              <a:rPr lang="en-IN" sz="2800" b="1" i="0" u="none" strike="noStrike" kern="1200" spc="0" baseline="0">
                <a:solidFill>
                  <a:sysClr val="windowText" lastClr="000000"/>
                </a:solidFill>
                <a:latin typeface="+mn-lt"/>
                <a:ea typeface="+mn-ea"/>
                <a:cs typeface="+mn-cs"/>
              </a:rPr>
              <a:t>Brand wise Transmission</a:t>
            </a:r>
          </a:p>
        </c:rich>
      </c:tx>
      <c:overlay val="0"/>
      <c:spPr>
        <a:noFill/>
        <a:ln>
          <a:noFill/>
        </a:ln>
        <a:effectLst/>
      </c:spPr>
      <c:txPr>
        <a:bodyPr rot="0" spcFirstLastPara="1" vertOverflow="ellipsis" vert="horz" wrap="square" anchor="ctr" anchorCtr="1"/>
        <a:lstStyle/>
        <a:p>
          <a:pPr algn="ctr" rtl="0">
            <a:defRPr lang="en-IN" sz="2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tables'!$K$40:$K$41</c:f>
              <c:strCache>
                <c:ptCount val="1"/>
                <c:pt idx="0">
                  <c:v>Automatic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tables'!$J$42:$J$52</c:f>
              <c:strCache>
                <c:ptCount val="10"/>
                <c:pt idx="0">
                  <c:v>Honda</c:v>
                </c:pt>
                <c:pt idx="1">
                  <c:v>Hyundai</c:v>
                </c:pt>
                <c:pt idx="2">
                  <c:v>Kia</c:v>
                </c:pt>
                <c:pt idx="3">
                  <c:v>Mahindra</c:v>
                </c:pt>
                <c:pt idx="4">
                  <c:v>Maruti Suzuki</c:v>
                </c:pt>
                <c:pt idx="5">
                  <c:v>Renault</c:v>
                </c:pt>
                <c:pt idx="6">
                  <c:v>Skoda</c:v>
                </c:pt>
                <c:pt idx="7">
                  <c:v>Tata Motors</c:v>
                </c:pt>
                <c:pt idx="8">
                  <c:v>Toyota</c:v>
                </c:pt>
                <c:pt idx="9">
                  <c:v>Volkswagen</c:v>
                </c:pt>
              </c:strCache>
            </c:strRef>
          </c:cat>
          <c:val>
            <c:numRef>
              <c:f>'Pivot tables'!$K$42:$K$52</c:f>
              <c:numCache>
                <c:formatCode>General</c:formatCode>
                <c:ptCount val="10"/>
                <c:pt idx="0">
                  <c:v>6</c:v>
                </c:pt>
                <c:pt idx="1">
                  <c:v>7</c:v>
                </c:pt>
                <c:pt idx="2">
                  <c:v>6</c:v>
                </c:pt>
                <c:pt idx="3">
                  <c:v>6</c:v>
                </c:pt>
                <c:pt idx="4">
                  <c:v>2</c:v>
                </c:pt>
                <c:pt idx="5">
                  <c:v>2</c:v>
                </c:pt>
                <c:pt idx="6">
                  <c:v>8</c:v>
                </c:pt>
                <c:pt idx="7">
                  <c:v>4</c:v>
                </c:pt>
                <c:pt idx="8">
                  <c:v>6</c:v>
                </c:pt>
                <c:pt idx="9">
                  <c:v>1</c:v>
                </c:pt>
              </c:numCache>
            </c:numRef>
          </c:val>
          <c:extLst>
            <c:ext xmlns:c16="http://schemas.microsoft.com/office/drawing/2014/chart" uri="{C3380CC4-5D6E-409C-BE32-E72D297353CC}">
              <c16:uniqueId val="{00000000-101F-4243-A5F3-35F1E7818F02}"/>
            </c:ext>
          </c:extLst>
        </c:ser>
        <c:dLbls>
          <c:showLegendKey val="0"/>
          <c:showVal val="1"/>
          <c:showCatName val="0"/>
          <c:showSerName val="0"/>
          <c:showPercent val="0"/>
          <c:showBubbleSize val="0"/>
        </c:dLbls>
        <c:gapWidth val="219"/>
        <c:overlap val="-27"/>
        <c:axId val="2052116623"/>
        <c:axId val="2052117103"/>
      </c:barChart>
      <c:lineChart>
        <c:grouping val="standard"/>
        <c:varyColors val="0"/>
        <c:ser>
          <c:idx val="1"/>
          <c:order val="1"/>
          <c:tx>
            <c:strRef>
              <c:f>'Pivot tables'!$L$40:$L$41</c:f>
              <c:strCache>
                <c:ptCount val="1"/>
                <c:pt idx="0">
                  <c:v>Manual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tables'!$J$42:$J$52</c:f>
              <c:strCache>
                <c:ptCount val="10"/>
                <c:pt idx="0">
                  <c:v>Honda</c:v>
                </c:pt>
                <c:pt idx="1">
                  <c:v>Hyundai</c:v>
                </c:pt>
                <c:pt idx="2">
                  <c:v>Kia</c:v>
                </c:pt>
                <c:pt idx="3">
                  <c:v>Mahindra</c:v>
                </c:pt>
                <c:pt idx="4">
                  <c:v>Maruti Suzuki</c:v>
                </c:pt>
                <c:pt idx="5">
                  <c:v>Renault</c:v>
                </c:pt>
                <c:pt idx="6">
                  <c:v>Skoda</c:v>
                </c:pt>
                <c:pt idx="7">
                  <c:v>Tata Motors</c:v>
                </c:pt>
                <c:pt idx="8">
                  <c:v>Toyota</c:v>
                </c:pt>
                <c:pt idx="9">
                  <c:v>Volkswagen</c:v>
                </c:pt>
              </c:strCache>
            </c:strRef>
          </c:cat>
          <c:val>
            <c:numRef>
              <c:f>'Pivot tables'!$L$42:$L$52</c:f>
              <c:numCache>
                <c:formatCode>General</c:formatCode>
                <c:ptCount val="10"/>
                <c:pt idx="0">
                  <c:v>6</c:v>
                </c:pt>
                <c:pt idx="1">
                  <c:v>2</c:v>
                </c:pt>
                <c:pt idx="2">
                  <c:v>6</c:v>
                </c:pt>
                <c:pt idx="3">
                  <c:v>3</c:v>
                </c:pt>
                <c:pt idx="4">
                  <c:v>4</c:v>
                </c:pt>
                <c:pt idx="5">
                  <c:v>2</c:v>
                </c:pt>
                <c:pt idx="6">
                  <c:v>2</c:v>
                </c:pt>
                <c:pt idx="7">
                  <c:v>10</c:v>
                </c:pt>
                <c:pt idx="8">
                  <c:v>10</c:v>
                </c:pt>
                <c:pt idx="9">
                  <c:v>7</c:v>
                </c:pt>
              </c:numCache>
            </c:numRef>
          </c:val>
          <c:smooth val="0"/>
          <c:extLst>
            <c:ext xmlns:c16="http://schemas.microsoft.com/office/drawing/2014/chart" uri="{C3380CC4-5D6E-409C-BE32-E72D297353CC}">
              <c16:uniqueId val="{00000001-101F-4243-A5F3-35F1E7818F02}"/>
            </c:ext>
          </c:extLst>
        </c:ser>
        <c:dLbls>
          <c:showLegendKey val="0"/>
          <c:showVal val="1"/>
          <c:showCatName val="0"/>
          <c:showSerName val="0"/>
          <c:showPercent val="0"/>
          <c:showBubbleSize val="0"/>
        </c:dLbls>
        <c:marker val="1"/>
        <c:smooth val="0"/>
        <c:axId val="2052116623"/>
        <c:axId val="2052117103"/>
      </c:lineChart>
      <c:catAx>
        <c:axId val="205211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117103"/>
        <c:crosses val="autoZero"/>
        <c:auto val="1"/>
        <c:lblAlgn val="ctr"/>
        <c:lblOffset val="100"/>
        <c:noMultiLvlLbl val="0"/>
      </c:catAx>
      <c:valAx>
        <c:axId val="205211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11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39077</xdr:colOff>
      <xdr:row>20</xdr:row>
      <xdr:rowOff>10886</xdr:rowOff>
    </xdr:to>
    <xdr:sp macro="" textlink="">
      <xdr:nvSpPr>
        <xdr:cNvPr id="5" name="Rectangle 4">
          <a:extLst>
            <a:ext uri="{FF2B5EF4-FFF2-40B4-BE49-F238E27FC236}">
              <a16:creationId xmlns:a16="http://schemas.microsoft.com/office/drawing/2014/main" id="{DC760EC4-A28C-9E01-630F-E1A9CBC80894}"/>
            </a:ext>
          </a:extLst>
        </xdr:cNvPr>
        <xdr:cNvSpPr/>
      </xdr:nvSpPr>
      <xdr:spPr>
        <a:xfrm>
          <a:off x="0" y="0"/>
          <a:ext cx="3691234" cy="37120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1.Which brand has the highest average price?</a:t>
          </a:r>
        </a:p>
        <a:p>
          <a:pPr algn="l"/>
          <a:r>
            <a:rPr lang="en-IN" sz="1100" b="1" i="0" u="none" strike="noStrike">
              <a:solidFill>
                <a:schemeClr val="lt1"/>
              </a:solidFill>
              <a:effectLst/>
              <a:latin typeface="+mn-lt"/>
              <a:ea typeface="+mn-ea"/>
              <a:cs typeface="+mn-cs"/>
            </a:rPr>
            <a:t>▶Volkswagen 2295000</a:t>
          </a:r>
        </a:p>
        <a:p>
          <a:pPr algn="l"/>
          <a:r>
            <a:rPr lang="en-IN" sz="1100" b="1" i="0" u="none" strike="noStrike">
              <a:solidFill>
                <a:schemeClr val="lt1"/>
              </a:solidFill>
              <a:effectLst/>
              <a:latin typeface="+mn-lt"/>
              <a:ea typeface="+mn-ea"/>
              <a:cs typeface="+mn-cs"/>
            </a:rPr>
            <a:t>2.Which fuel type gives the best mileage?</a:t>
          </a:r>
          <a:r>
            <a:rPr lang="en-IN">
              <a:effectLst/>
            </a:rPr>
            <a:t> </a:t>
          </a:r>
        </a:p>
        <a:p>
          <a:pPr algn="l"/>
          <a:r>
            <a:rPr lang="en-IN" sz="1100" b="1" i="0">
              <a:solidFill>
                <a:schemeClr val="lt1"/>
              </a:solidFill>
              <a:effectLst/>
              <a:latin typeface="+mn-lt"/>
              <a:ea typeface="+mn-ea"/>
              <a:cs typeface="+mn-cs"/>
            </a:rPr>
            <a:t>▶Diesel 636.7</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3.Do automatic cars cost more than manual ones?</a:t>
          </a:r>
          <a:r>
            <a:rPr lang="en-IN">
              <a:effectLst/>
            </a:rPr>
            <a:t> </a:t>
          </a:r>
        </a:p>
        <a:p>
          <a:pPr algn="l"/>
          <a:r>
            <a:rPr lang="en-IN" sz="1100" b="1" i="0">
              <a:solidFill>
                <a:schemeClr val="lt1"/>
              </a:solidFill>
              <a:effectLst/>
              <a:latin typeface="+mn-lt"/>
              <a:ea typeface="+mn-ea"/>
              <a:cs typeface="+mn-cs"/>
            </a:rPr>
            <a:t>▶No</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4.Which seating capacity is most common?</a:t>
          </a:r>
          <a:r>
            <a:rPr lang="en-IN">
              <a:effectLst/>
            </a:rPr>
            <a:t> </a:t>
          </a:r>
        </a:p>
        <a:p>
          <a:pPr algn="l"/>
          <a:r>
            <a:rPr lang="en-IN" sz="1100" b="1" i="0">
              <a:solidFill>
                <a:schemeClr val="lt1"/>
              </a:solidFill>
              <a:effectLst/>
              <a:latin typeface="+mn-lt"/>
              <a:ea typeface="+mn-ea"/>
              <a:cs typeface="+mn-cs"/>
            </a:rPr>
            <a:t>▶4,5,6</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5.Which brand has the lowest average service cost?</a:t>
          </a:r>
        </a:p>
        <a:p>
          <a:pPr algn="l"/>
          <a:r>
            <a:rPr lang="en-IN" sz="1100" b="1" i="0">
              <a:solidFill>
                <a:schemeClr val="lt1"/>
              </a:solidFill>
              <a:effectLst/>
              <a:latin typeface="+mn-lt"/>
              <a:ea typeface="+mn-ea"/>
              <a:cs typeface="+mn-cs"/>
            </a:rPr>
            <a:t>▶</a:t>
          </a:r>
          <a:r>
            <a:rPr lang="en-IN">
              <a:effectLst/>
            </a:rPr>
            <a:t> </a:t>
          </a:r>
          <a:r>
            <a:rPr lang="en-IN" b="1">
              <a:effectLst/>
            </a:rPr>
            <a:t>Renault 67700</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6.Which year has the most car models?</a:t>
          </a:r>
        </a:p>
        <a:p>
          <a:pPr algn="l"/>
          <a:r>
            <a:rPr lang="en-IN" sz="1100" b="0" i="0">
              <a:solidFill>
                <a:schemeClr val="lt1"/>
              </a:solidFill>
              <a:effectLst/>
              <a:latin typeface="+mn-lt"/>
              <a:ea typeface="+mn-ea"/>
              <a:cs typeface="+mn-cs"/>
            </a:rPr>
            <a:t>▶</a:t>
          </a:r>
          <a:r>
            <a:rPr lang="en-IN" b="0">
              <a:effectLst/>
            </a:rPr>
            <a:t> </a:t>
          </a:r>
          <a:r>
            <a:rPr lang="en-IN" b="1">
              <a:effectLst/>
            </a:rPr>
            <a:t>2022</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7.Which engine size (CC) is most popular?</a:t>
          </a:r>
          <a:r>
            <a:rPr lang="en-IN">
              <a:effectLst/>
            </a:rPr>
            <a:t> </a:t>
          </a:r>
        </a:p>
        <a:p>
          <a:pPr algn="l"/>
          <a:r>
            <a:rPr lang="en-IN" sz="1100" b="1" i="0">
              <a:solidFill>
                <a:schemeClr val="lt1"/>
              </a:solidFill>
              <a:effectLst/>
              <a:latin typeface="+mn-lt"/>
              <a:ea typeface="+mn-ea"/>
              <a:cs typeface="+mn-cs"/>
            </a:rPr>
            <a:t>▶2500</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8.Which brand offers the highest mileage cars?</a:t>
          </a:r>
          <a:r>
            <a:rPr lang="en-IN">
              <a:effectLst/>
            </a:rPr>
            <a:t> </a:t>
          </a:r>
        </a:p>
        <a:p>
          <a:pPr algn="l"/>
          <a:r>
            <a:rPr lang="en-IN" sz="1100" b="1" i="0">
              <a:solidFill>
                <a:schemeClr val="lt1"/>
              </a:solidFill>
              <a:effectLst/>
              <a:latin typeface="+mn-lt"/>
              <a:ea typeface="+mn-ea"/>
              <a:cs typeface="+mn-cs"/>
            </a:rPr>
            <a:t>▶Toyota</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9.Which fuel type has the lowest service cost?</a:t>
          </a:r>
          <a:r>
            <a:rPr lang="en-IN">
              <a:effectLst/>
            </a:rPr>
            <a:t> </a:t>
          </a:r>
        </a:p>
        <a:p>
          <a:pPr algn="l"/>
          <a:r>
            <a:rPr lang="en-IN" sz="1100" b="1" i="0">
              <a:solidFill>
                <a:schemeClr val="lt1"/>
              </a:solidFill>
              <a:effectLst/>
              <a:latin typeface="+mn-lt"/>
              <a:ea typeface="+mn-ea"/>
              <a:cs typeface="+mn-cs"/>
            </a:rPr>
            <a:t>▶Petrol</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10.Which brand has the highest average mileage?</a:t>
          </a:r>
        </a:p>
        <a:p>
          <a:pPr algn="l"/>
          <a:r>
            <a:rPr lang="en-IN" sz="1100" b="1" i="0">
              <a:solidFill>
                <a:schemeClr val="lt1"/>
              </a:solidFill>
              <a:effectLst/>
              <a:latin typeface="+mn-lt"/>
              <a:ea typeface="+mn-ea"/>
              <a:cs typeface="+mn-cs"/>
            </a:rPr>
            <a:t>▶</a:t>
          </a:r>
          <a:r>
            <a:rPr lang="en-IN">
              <a:effectLst/>
            </a:rPr>
            <a:t> </a:t>
          </a:r>
          <a:r>
            <a:rPr lang="en-IN" b="1">
              <a:effectLst/>
            </a:rPr>
            <a:t>Renault 22.25</a:t>
          </a:r>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17318</xdr:rowOff>
    </xdr:from>
    <xdr:to>
      <xdr:col>36</xdr:col>
      <xdr:colOff>247650</xdr:colOff>
      <xdr:row>62</xdr:row>
      <xdr:rowOff>57150</xdr:rowOff>
    </xdr:to>
    <xdr:sp macro="" textlink="">
      <xdr:nvSpPr>
        <xdr:cNvPr id="3" name="Rectangle 2">
          <a:extLst>
            <a:ext uri="{FF2B5EF4-FFF2-40B4-BE49-F238E27FC236}">
              <a16:creationId xmlns:a16="http://schemas.microsoft.com/office/drawing/2014/main" id="{4ACD6008-D83A-EEA6-8964-CBC432420F8E}"/>
            </a:ext>
          </a:extLst>
        </xdr:cNvPr>
        <xdr:cNvSpPr/>
      </xdr:nvSpPr>
      <xdr:spPr>
        <a:xfrm>
          <a:off x="1" y="17318"/>
          <a:ext cx="22193249" cy="11850832"/>
        </a:xfrm>
        <a:prstGeom prst="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xdr:rowOff>
    </xdr:from>
    <xdr:to>
      <xdr:col>4</xdr:col>
      <xdr:colOff>53340</xdr:colOff>
      <xdr:row>62</xdr:row>
      <xdr:rowOff>19051</xdr:rowOff>
    </xdr:to>
    <xdr:sp macro="" textlink="">
      <xdr:nvSpPr>
        <xdr:cNvPr id="5" name="Rectangle 4">
          <a:extLst>
            <a:ext uri="{FF2B5EF4-FFF2-40B4-BE49-F238E27FC236}">
              <a16:creationId xmlns:a16="http://schemas.microsoft.com/office/drawing/2014/main" id="{2B6EA983-6F20-3390-13A0-8F5C139FFCAC}"/>
            </a:ext>
          </a:extLst>
        </xdr:cNvPr>
        <xdr:cNvSpPr/>
      </xdr:nvSpPr>
      <xdr:spPr>
        <a:xfrm>
          <a:off x="0" y="1"/>
          <a:ext cx="2491740" cy="11492593"/>
        </a:xfrm>
        <a:prstGeom prst="rect">
          <a:avLst/>
        </a:prstGeom>
        <a:solidFill>
          <a:schemeClr val="accent4">
            <a:lumMod val="40000"/>
            <a:lumOff val="6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b="1" u="sng">
            <a:solidFill>
              <a:schemeClr val="accent6">
                <a:lumMod val="50000"/>
              </a:schemeClr>
            </a:solidFill>
            <a:latin typeface="+mj-lt"/>
          </a:endParaRPr>
        </a:p>
        <a:p>
          <a:pPr algn="ctr"/>
          <a:r>
            <a:rPr lang="en-IN" sz="2400" b="1" u="sng">
              <a:solidFill>
                <a:schemeClr val="accent6">
                  <a:lumMod val="50000"/>
                </a:schemeClr>
              </a:solidFill>
              <a:latin typeface="+mj-lt"/>
            </a:rPr>
            <a:t>Indian Car Market Dashboard</a:t>
          </a:r>
        </a:p>
      </xdr:txBody>
    </xdr:sp>
    <xdr:clientData/>
  </xdr:twoCellAnchor>
  <xdr:twoCellAnchor>
    <xdr:from>
      <xdr:col>6</xdr:col>
      <xdr:colOff>215754</xdr:colOff>
      <xdr:row>4</xdr:row>
      <xdr:rowOff>43338</xdr:rowOff>
    </xdr:from>
    <xdr:to>
      <xdr:col>15</xdr:col>
      <xdr:colOff>37413</xdr:colOff>
      <xdr:row>30</xdr:row>
      <xdr:rowOff>105694</xdr:rowOff>
    </xdr:to>
    <xdr:graphicFrame macro="">
      <xdr:nvGraphicFramePr>
        <xdr:cNvPr id="13" name="Chart 12">
          <a:extLst>
            <a:ext uri="{FF2B5EF4-FFF2-40B4-BE49-F238E27FC236}">
              <a16:creationId xmlns:a16="http://schemas.microsoft.com/office/drawing/2014/main" id="{B07BAA24-9B4E-4280-ADB1-32D7F5A43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390373</xdr:colOff>
      <xdr:row>4</xdr:row>
      <xdr:rowOff>27126</xdr:rowOff>
    </xdr:from>
    <xdr:to>
      <xdr:col>34</xdr:col>
      <xdr:colOff>159334</xdr:colOff>
      <xdr:row>29</xdr:row>
      <xdr:rowOff>73270</xdr:rowOff>
    </xdr:to>
    <xdr:graphicFrame macro="">
      <xdr:nvGraphicFramePr>
        <xdr:cNvPr id="14" name="Chart 13">
          <a:extLst>
            <a:ext uri="{FF2B5EF4-FFF2-40B4-BE49-F238E27FC236}">
              <a16:creationId xmlns:a16="http://schemas.microsoft.com/office/drawing/2014/main" id="{7B94C7CA-3262-46E9-ACB9-E31A9D92A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216731</xdr:colOff>
      <xdr:row>4</xdr:row>
      <xdr:rowOff>58615</xdr:rowOff>
    </xdr:from>
    <xdr:to>
      <xdr:col>24</xdr:col>
      <xdr:colOff>183330</xdr:colOff>
      <xdr:row>21</xdr:row>
      <xdr:rowOff>27126</xdr:rowOff>
    </xdr:to>
    <xdr:graphicFrame macro="">
      <xdr:nvGraphicFramePr>
        <xdr:cNvPr id="15" name="Chart 14">
          <a:extLst>
            <a:ext uri="{FF2B5EF4-FFF2-40B4-BE49-F238E27FC236}">
              <a16:creationId xmlns:a16="http://schemas.microsoft.com/office/drawing/2014/main" id="{5E5D0942-A7E4-481F-8139-318CAAE8A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192416</xdr:colOff>
      <xdr:row>32</xdr:row>
      <xdr:rowOff>72848</xdr:rowOff>
    </xdr:from>
    <xdr:to>
      <xdr:col>15</xdr:col>
      <xdr:colOff>47650</xdr:colOff>
      <xdr:row>56</xdr:row>
      <xdr:rowOff>89481</xdr:rowOff>
    </xdr:to>
    <xdr:graphicFrame macro="">
      <xdr:nvGraphicFramePr>
        <xdr:cNvPr id="16" name="Chart 15">
          <a:extLst>
            <a:ext uri="{FF2B5EF4-FFF2-40B4-BE49-F238E27FC236}">
              <a16:creationId xmlns:a16="http://schemas.microsoft.com/office/drawing/2014/main" id="{35DCBFA8-00F9-47E3-9A11-292FD2F5A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407054</xdr:colOff>
      <xdr:row>30</xdr:row>
      <xdr:rowOff>154332</xdr:rowOff>
    </xdr:from>
    <xdr:to>
      <xdr:col>34</xdr:col>
      <xdr:colOff>167117</xdr:colOff>
      <xdr:row>56</xdr:row>
      <xdr:rowOff>27124</xdr:rowOff>
    </xdr:to>
    <xdr:graphicFrame macro="">
      <xdr:nvGraphicFramePr>
        <xdr:cNvPr id="18" name="Chart 17">
          <a:extLst>
            <a:ext uri="{FF2B5EF4-FFF2-40B4-BE49-F238E27FC236}">
              <a16:creationId xmlns:a16="http://schemas.microsoft.com/office/drawing/2014/main" id="{104664F6-8154-4747-8431-4336E9F1B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215755</xdr:colOff>
      <xdr:row>22</xdr:row>
      <xdr:rowOff>87924</xdr:rowOff>
    </xdr:from>
    <xdr:to>
      <xdr:col>24</xdr:col>
      <xdr:colOff>215754</xdr:colOff>
      <xdr:row>38</xdr:row>
      <xdr:rowOff>77616</xdr:rowOff>
    </xdr:to>
    <xdr:graphicFrame macro="">
      <xdr:nvGraphicFramePr>
        <xdr:cNvPr id="2" name="Chart 1">
          <a:extLst>
            <a:ext uri="{FF2B5EF4-FFF2-40B4-BE49-F238E27FC236}">
              <a16:creationId xmlns:a16="http://schemas.microsoft.com/office/drawing/2014/main" id="{B8F52D8C-DD69-49A8-BA94-7162100B1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199541</xdr:colOff>
      <xdr:row>39</xdr:row>
      <xdr:rowOff>146539</xdr:rowOff>
    </xdr:from>
    <xdr:to>
      <xdr:col>24</xdr:col>
      <xdr:colOff>183329</xdr:colOff>
      <xdr:row>56</xdr:row>
      <xdr:rowOff>47685</xdr:rowOff>
    </xdr:to>
    <xdr:graphicFrame macro="">
      <xdr:nvGraphicFramePr>
        <xdr:cNvPr id="4" name="Chart 3">
          <a:extLst>
            <a:ext uri="{FF2B5EF4-FFF2-40B4-BE49-F238E27FC236}">
              <a16:creationId xmlns:a16="http://schemas.microsoft.com/office/drawing/2014/main" id="{B60F642D-27E9-4242-811F-26A75E540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120438</xdr:colOff>
      <xdr:row>8</xdr:row>
      <xdr:rowOff>145916</xdr:rowOff>
    </xdr:from>
    <xdr:to>
      <xdr:col>3</xdr:col>
      <xdr:colOff>283724</xdr:colOff>
      <xdr:row>27</xdr:row>
      <xdr:rowOff>32426</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261019FC-5BFD-432D-A5A3-7023365703D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0438" y="1608956"/>
              <a:ext cx="1992086" cy="3361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136650</xdr:colOff>
      <xdr:row>30</xdr:row>
      <xdr:rowOff>97277</xdr:rowOff>
    </xdr:from>
    <xdr:to>
      <xdr:col>3</xdr:col>
      <xdr:colOff>310822</xdr:colOff>
      <xdr:row>48</xdr:row>
      <xdr:rowOff>129704</xdr:rowOff>
    </xdr:to>
    <mc:AlternateContent xmlns:mc="http://schemas.openxmlformats.org/markup-compatibility/2006">
      <mc:Choice xmlns:a14="http://schemas.microsoft.com/office/drawing/2010/main" Requires="a14">
        <xdr:graphicFrame macro="">
          <xdr:nvGraphicFramePr>
            <xdr:cNvPr id="9" name="Brand">
              <a:extLst>
                <a:ext uri="{FF2B5EF4-FFF2-40B4-BE49-F238E27FC236}">
                  <a16:creationId xmlns:a16="http://schemas.microsoft.com/office/drawing/2014/main" id="{68005C30-9E2E-42C0-ABBA-838FB7DA1B7A}"/>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36650" y="5583677"/>
              <a:ext cx="2002972" cy="3324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I" refreshedDate="46092.798139351849" createdVersion="8" refreshedVersion="8" minRefreshableVersion="3" recordCount="100" xr:uid="{9778CD33-1E09-4B0E-9DE3-007B69D27FF4}">
  <cacheSource type="worksheet">
    <worksheetSource name="Table1"/>
  </cacheSource>
  <cacheFields count="11">
    <cacheField name="Car_ID" numFmtId="0">
      <sharedItems containsSemiMixedTypes="0" containsString="0" containsNumber="1" containsInteger="1" minValue="1" maxValue="100"/>
    </cacheField>
    <cacheField name="Brand" numFmtId="0">
      <sharedItems count="10">
        <s v="Toyota"/>
        <s v="Kia"/>
        <s v="Maruti Suzuki"/>
        <s v="Honda"/>
        <s v="Volkswagen"/>
        <s v="Renault"/>
        <s v="Mahindra"/>
        <s v="Tata Motors"/>
        <s v="Skoda"/>
        <s v="Hyundai"/>
      </sharedItems>
    </cacheField>
    <cacheField name="Model" numFmtId="0">
      <sharedItems count="45">
        <s v="Innova"/>
        <s v="EV6"/>
        <s v="Dzire"/>
        <s v="Amaze"/>
        <s v="City"/>
        <s v="Sonet"/>
        <s v="Glanza"/>
        <s v="Taigun"/>
        <s v="Lodgy"/>
        <s v="Jazz"/>
        <s v="Civic"/>
        <s v="Kiger"/>
        <s v="Scorpio"/>
        <s v="Punch"/>
        <s v="Fortuner"/>
        <s v="Kushaq"/>
        <s v="Tiago"/>
        <s v="Superb"/>
        <s v="Camry"/>
        <s v="XUV700"/>
        <s v="Ertiga"/>
        <s v="Altroz"/>
        <s v="Harrier"/>
        <s v="Carnival"/>
        <s v="Polo"/>
        <s v="Swift"/>
        <s v="Verna"/>
        <s v="Slavia"/>
        <s v="Nexon"/>
        <s v="Virtus"/>
        <s v="Tiguan"/>
        <s v="Octavia"/>
        <s v="Seltos"/>
        <s v="Bolero"/>
        <s v="Thar"/>
        <s v="i10"/>
        <s v="Venue"/>
        <s v="Rapid"/>
        <s v="Creta"/>
        <s v="WR-V"/>
        <s v="XUV300"/>
        <s v="i20"/>
        <s v="Urban Cruiser"/>
        <s v="Vento"/>
        <s v="Baleno"/>
      </sharedItems>
    </cacheField>
    <cacheField name="Year" numFmtId="0">
      <sharedItems containsSemiMixedTypes="0" containsString="0" containsNumber="1" containsInteger="1" minValue="2015" maxValue="2024" count="10">
        <n v="2024"/>
        <n v="2023"/>
        <n v="2016"/>
        <n v="2019"/>
        <n v="2015"/>
        <n v="2020"/>
        <n v="2017"/>
        <n v="2022"/>
        <n v="2018"/>
        <n v="2021"/>
      </sharedItems>
    </cacheField>
    <cacheField name="Fuel_Type" numFmtId="0">
      <sharedItems count="4">
        <s v="CNG"/>
        <s v="Diesel"/>
        <s v="Petrol"/>
        <s v="Electric"/>
      </sharedItems>
    </cacheField>
    <cacheField name="Transmission" numFmtId="0">
      <sharedItems count="2">
        <s v="Manual"/>
        <s v="Automatic"/>
      </sharedItems>
    </cacheField>
    <cacheField name="Price" numFmtId="0">
      <sharedItems containsSemiMixedTypes="0" containsString="0" containsNumber="1" containsInteger="1" minValue="410000" maxValue="3430000"/>
    </cacheField>
    <cacheField name="Mileage" numFmtId="0">
      <sharedItems containsSemiMixedTypes="0" containsString="0" containsNumber="1" minValue="10.1" maxValue="29.7" count="83">
        <n v="27.3"/>
        <n v="16.399999999999999"/>
        <n v="17.600000000000001"/>
        <n v="19.2"/>
        <n v="15.8"/>
        <n v="21.5"/>
        <n v="29.7"/>
        <n v="20.2"/>
        <n v="10.5"/>
        <n v="16.100000000000001"/>
        <n v="17.2"/>
        <n v="10.8"/>
        <n v="29.6"/>
        <n v="25.3"/>
        <n v="11.1"/>
        <n v="14.9"/>
        <n v="21.8"/>
        <n v="13.5"/>
        <n v="26.9"/>
        <n v="24.8"/>
        <n v="12.2"/>
        <n v="21.3"/>
        <n v="16.5"/>
        <n v="29.2"/>
        <n v="15.6"/>
        <n v="13.8"/>
        <n v="21.4"/>
        <n v="22.5"/>
        <n v="13.9"/>
        <n v="10.1"/>
        <n v="25"/>
        <n v="29.4"/>
        <n v="28.8"/>
        <n v="11.9"/>
        <n v="16"/>
        <n v="23"/>
        <n v="10.7"/>
        <n v="14.5"/>
        <n v="25.9"/>
        <n v="16.8"/>
        <n v="19.899999999999999"/>
        <n v="12.9"/>
        <n v="27.6"/>
        <n v="23.3"/>
        <n v="20.7"/>
        <n v="14"/>
        <n v="18.7"/>
        <n v="12.6"/>
        <n v="22"/>
        <n v="21"/>
        <n v="22.9"/>
        <n v="24"/>
        <n v="24.7"/>
        <n v="25.1"/>
        <n v="11.6"/>
        <n v="26.5"/>
        <n v="29.5"/>
        <n v="12.8"/>
        <n v="13"/>
        <n v="25.2"/>
        <n v="22.6"/>
        <n v="11.4"/>
        <n v="24.1"/>
        <n v="27.1"/>
        <n v="25.7"/>
        <n v="26.2"/>
        <n v="10.199999999999999"/>
        <n v="17.3"/>
        <n v="15.5"/>
        <n v="28.7"/>
        <n v="14.3"/>
        <n v="12"/>
        <n v="15.3"/>
        <n v="19.7"/>
        <n v="26.4"/>
        <n v="29.3"/>
        <n v="13.6"/>
        <n v="20.8"/>
        <n v="10.6"/>
        <n v="18.2"/>
        <n v="26"/>
        <n v="16.600000000000001"/>
        <n v="14.2"/>
      </sharedItems>
    </cacheField>
    <cacheField name="Engine_CC" numFmtId="0">
      <sharedItems containsSemiMixedTypes="0" containsString="0" containsNumber="1" containsInteger="1" minValue="800" maxValue="2500" count="7">
        <n v="800"/>
        <n v="2500"/>
        <n v="2000"/>
        <n v="1000"/>
        <n v="1800"/>
        <n v="1500"/>
        <n v="1200"/>
      </sharedItems>
    </cacheField>
    <cacheField name="Seating_Capacity" numFmtId="0">
      <sharedItems containsSemiMixedTypes="0" containsString="0" containsNumber="1" containsInteger="1" minValue="4" maxValue="7" count="4">
        <n v="4"/>
        <n v="7"/>
        <n v="6"/>
        <n v="5"/>
      </sharedItems>
    </cacheField>
    <cacheField name="Service_Cost" numFmtId="164">
      <sharedItems containsSemiMixedTypes="0" containsString="0" containsNumber="1" containsInteger="1" minValue="5100" maxValue="24800"/>
    </cacheField>
  </cacheFields>
  <extLst>
    <ext xmlns:x14="http://schemas.microsoft.com/office/spreadsheetml/2009/9/main" uri="{725AE2AE-9491-48be-B2B4-4EB974FC3084}">
      <x14:pivotCacheDefinition pivotCacheId="794636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x v="0"/>
    <x v="0"/>
    <x v="0"/>
    <n v="2020000"/>
    <x v="0"/>
    <x v="0"/>
    <x v="0"/>
    <n v="24100"/>
  </r>
  <r>
    <n v="2"/>
    <x v="1"/>
    <x v="1"/>
    <x v="1"/>
    <x v="1"/>
    <x v="0"/>
    <n v="1770000"/>
    <x v="1"/>
    <x v="1"/>
    <x v="1"/>
    <n v="18800"/>
  </r>
  <r>
    <n v="3"/>
    <x v="2"/>
    <x v="2"/>
    <x v="2"/>
    <x v="2"/>
    <x v="0"/>
    <n v="3430000"/>
    <x v="2"/>
    <x v="2"/>
    <x v="2"/>
    <n v="24700"/>
  </r>
  <r>
    <n v="4"/>
    <x v="3"/>
    <x v="3"/>
    <x v="3"/>
    <x v="2"/>
    <x v="0"/>
    <n v="1610000"/>
    <x v="3"/>
    <x v="1"/>
    <x v="2"/>
    <n v="23300"/>
  </r>
  <r>
    <n v="5"/>
    <x v="3"/>
    <x v="4"/>
    <x v="4"/>
    <x v="3"/>
    <x v="0"/>
    <n v="1840000"/>
    <x v="4"/>
    <x v="3"/>
    <x v="3"/>
    <n v="5800"/>
  </r>
  <r>
    <n v="6"/>
    <x v="1"/>
    <x v="5"/>
    <x v="5"/>
    <x v="2"/>
    <x v="0"/>
    <n v="2780000"/>
    <x v="5"/>
    <x v="4"/>
    <x v="1"/>
    <n v="23700"/>
  </r>
  <r>
    <n v="7"/>
    <x v="0"/>
    <x v="6"/>
    <x v="3"/>
    <x v="0"/>
    <x v="0"/>
    <n v="2270000"/>
    <x v="6"/>
    <x v="5"/>
    <x v="1"/>
    <n v="13300"/>
  </r>
  <r>
    <n v="8"/>
    <x v="4"/>
    <x v="7"/>
    <x v="6"/>
    <x v="0"/>
    <x v="0"/>
    <n v="2770000"/>
    <x v="7"/>
    <x v="4"/>
    <x v="0"/>
    <n v="10200"/>
  </r>
  <r>
    <n v="9"/>
    <x v="5"/>
    <x v="8"/>
    <x v="4"/>
    <x v="2"/>
    <x v="0"/>
    <n v="2180000"/>
    <x v="8"/>
    <x v="4"/>
    <x v="3"/>
    <n v="18900"/>
  </r>
  <r>
    <n v="10"/>
    <x v="1"/>
    <x v="1"/>
    <x v="3"/>
    <x v="0"/>
    <x v="1"/>
    <n v="990000"/>
    <x v="9"/>
    <x v="4"/>
    <x v="2"/>
    <n v="15400"/>
  </r>
  <r>
    <n v="11"/>
    <x v="3"/>
    <x v="9"/>
    <x v="7"/>
    <x v="0"/>
    <x v="1"/>
    <n v="3010000"/>
    <x v="10"/>
    <x v="5"/>
    <x v="0"/>
    <n v="8500"/>
  </r>
  <r>
    <n v="12"/>
    <x v="3"/>
    <x v="10"/>
    <x v="8"/>
    <x v="2"/>
    <x v="0"/>
    <n v="2000000"/>
    <x v="11"/>
    <x v="2"/>
    <x v="2"/>
    <n v="7800"/>
  </r>
  <r>
    <n v="13"/>
    <x v="5"/>
    <x v="11"/>
    <x v="7"/>
    <x v="2"/>
    <x v="1"/>
    <n v="820000"/>
    <x v="12"/>
    <x v="3"/>
    <x v="3"/>
    <n v="19100"/>
  </r>
  <r>
    <n v="14"/>
    <x v="3"/>
    <x v="9"/>
    <x v="7"/>
    <x v="0"/>
    <x v="0"/>
    <n v="3020000"/>
    <x v="13"/>
    <x v="1"/>
    <x v="1"/>
    <n v="7300"/>
  </r>
  <r>
    <n v="15"/>
    <x v="6"/>
    <x v="12"/>
    <x v="6"/>
    <x v="1"/>
    <x v="0"/>
    <n v="1280000"/>
    <x v="14"/>
    <x v="1"/>
    <x v="2"/>
    <n v="23300"/>
  </r>
  <r>
    <n v="16"/>
    <x v="7"/>
    <x v="13"/>
    <x v="2"/>
    <x v="1"/>
    <x v="1"/>
    <n v="490000"/>
    <x v="3"/>
    <x v="1"/>
    <x v="3"/>
    <n v="7300"/>
  </r>
  <r>
    <n v="17"/>
    <x v="0"/>
    <x v="14"/>
    <x v="2"/>
    <x v="0"/>
    <x v="1"/>
    <n v="540000"/>
    <x v="15"/>
    <x v="3"/>
    <x v="0"/>
    <n v="9500"/>
  </r>
  <r>
    <n v="18"/>
    <x v="8"/>
    <x v="15"/>
    <x v="1"/>
    <x v="2"/>
    <x v="1"/>
    <n v="3360000"/>
    <x v="16"/>
    <x v="6"/>
    <x v="1"/>
    <n v="21100"/>
  </r>
  <r>
    <n v="19"/>
    <x v="7"/>
    <x v="16"/>
    <x v="4"/>
    <x v="0"/>
    <x v="0"/>
    <n v="910000"/>
    <x v="17"/>
    <x v="6"/>
    <x v="2"/>
    <n v="15400"/>
  </r>
  <r>
    <n v="20"/>
    <x v="8"/>
    <x v="17"/>
    <x v="6"/>
    <x v="0"/>
    <x v="0"/>
    <n v="1780000"/>
    <x v="18"/>
    <x v="6"/>
    <x v="1"/>
    <n v="24800"/>
  </r>
  <r>
    <n v="21"/>
    <x v="3"/>
    <x v="9"/>
    <x v="0"/>
    <x v="1"/>
    <x v="0"/>
    <n v="1430000"/>
    <x v="19"/>
    <x v="5"/>
    <x v="0"/>
    <n v="5600"/>
  </r>
  <r>
    <n v="22"/>
    <x v="0"/>
    <x v="14"/>
    <x v="7"/>
    <x v="1"/>
    <x v="0"/>
    <n v="2160000"/>
    <x v="6"/>
    <x v="2"/>
    <x v="3"/>
    <n v="22600"/>
  </r>
  <r>
    <n v="23"/>
    <x v="0"/>
    <x v="18"/>
    <x v="1"/>
    <x v="3"/>
    <x v="1"/>
    <n v="2890000"/>
    <x v="20"/>
    <x v="6"/>
    <x v="3"/>
    <n v="23500"/>
  </r>
  <r>
    <n v="24"/>
    <x v="6"/>
    <x v="19"/>
    <x v="2"/>
    <x v="3"/>
    <x v="1"/>
    <n v="1470000"/>
    <x v="21"/>
    <x v="5"/>
    <x v="3"/>
    <n v="8800"/>
  </r>
  <r>
    <n v="25"/>
    <x v="0"/>
    <x v="6"/>
    <x v="5"/>
    <x v="3"/>
    <x v="1"/>
    <n v="2520000"/>
    <x v="22"/>
    <x v="2"/>
    <x v="1"/>
    <n v="5600"/>
  </r>
  <r>
    <n v="26"/>
    <x v="7"/>
    <x v="13"/>
    <x v="0"/>
    <x v="2"/>
    <x v="0"/>
    <n v="2650000"/>
    <x v="23"/>
    <x v="6"/>
    <x v="1"/>
    <n v="8200"/>
  </r>
  <r>
    <n v="27"/>
    <x v="2"/>
    <x v="20"/>
    <x v="4"/>
    <x v="3"/>
    <x v="1"/>
    <n v="940000"/>
    <x v="24"/>
    <x v="3"/>
    <x v="0"/>
    <n v="24300"/>
  </r>
  <r>
    <n v="28"/>
    <x v="6"/>
    <x v="19"/>
    <x v="3"/>
    <x v="3"/>
    <x v="0"/>
    <n v="2770000"/>
    <x v="25"/>
    <x v="1"/>
    <x v="2"/>
    <n v="11400"/>
  </r>
  <r>
    <n v="29"/>
    <x v="7"/>
    <x v="21"/>
    <x v="8"/>
    <x v="3"/>
    <x v="0"/>
    <n v="2820000"/>
    <x v="26"/>
    <x v="1"/>
    <x v="3"/>
    <n v="15500"/>
  </r>
  <r>
    <n v="30"/>
    <x v="5"/>
    <x v="11"/>
    <x v="7"/>
    <x v="3"/>
    <x v="1"/>
    <n v="1200000"/>
    <x v="27"/>
    <x v="6"/>
    <x v="0"/>
    <n v="15100"/>
  </r>
  <r>
    <n v="31"/>
    <x v="7"/>
    <x v="22"/>
    <x v="1"/>
    <x v="1"/>
    <x v="0"/>
    <n v="1530000"/>
    <x v="28"/>
    <x v="1"/>
    <x v="2"/>
    <n v="13200"/>
  </r>
  <r>
    <n v="32"/>
    <x v="1"/>
    <x v="23"/>
    <x v="7"/>
    <x v="1"/>
    <x v="1"/>
    <n v="950000"/>
    <x v="29"/>
    <x v="5"/>
    <x v="3"/>
    <n v="14800"/>
  </r>
  <r>
    <n v="33"/>
    <x v="0"/>
    <x v="0"/>
    <x v="8"/>
    <x v="0"/>
    <x v="0"/>
    <n v="1010000"/>
    <x v="30"/>
    <x v="0"/>
    <x v="2"/>
    <n v="12400"/>
  </r>
  <r>
    <n v="34"/>
    <x v="3"/>
    <x v="3"/>
    <x v="9"/>
    <x v="0"/>
    <x v="1"/>
    <n v="2370000"/>
    <x v="31"/>
    <x v="1"/>
    <x v="2"/>
    <n v="17000"/>
  </r>
  <r>
    <n v="35"/>
    <x v="4"/>
    <x v="24"/>
    <x v="2"/>
    <x v="0"/>
    <x v="1"/>
    <n v="2590000"/>
    <x v="32"/>
    <x v="5"/>
    <x v="1"/>
    <n v="12400"/>
  </r>
  <r>
    <n v="36"/>
    <x v="2"/>
    <x v="25"/>
    <x v="3"/>
    <x v="1"/>
    <x v="0"/>
    <n v="1920000"/>
    <x v="33"/>
    <x v="5"/>
    <x v="1"/>
    <n v="16600"/>
  </r>
  <r>
    <n v="37"/>
    <x v="1"/>
    <x v="1"/>
    <x v="5"/>
    <x v="0"/>
    <x v="1"/>
    <n v="1990000"/>
    <x v="34"/>
    <x v="3"/>
    <x v="1"/>
    <n v="5100"/>
  </r>
  <r>
    <n v="38"/>
    <x v="9"/>
    <x v="26"/>
    <x v="3"/>
    <x v="1"/>
    <x v="1"/>
    <n v="1730000"/>
    <x v="35"/>
    <x v="4"/>
    <x v="1"/>
    <n v="19300"/>
  </r>
  <r>
    <n v="39"/>
    <x v="8"/>
    <x v="27"/>
    <x v="6"/>
    <x v="1"/>
    <x v="1"/>
    <n v="3290000"/>
    <x v="36"/>
    <x v="4"/>
    <x v="2"/>
    <n v="6800"/>
  </r>
  <r>
    <n v="40"/>
    <x v="0"/>
    <x v="6"/>
    <x v="4"/>
    <x v="1"/>
    <x v="1"/>
    <n v="520000"/>
    <x v="37"/>
    <x v="4"/>
    <x v="2"/>
    <n v="8300"/>
  </r>
  <r>
    <n v="41"/>
    <x v="7"/>
    <x v="22"/>
    <x v="9"/>
    <x v="1"/>
    <x v="0"/>
    <n v="1260000"/>
    <x v="38"/>
    <x v="5"/>
    <x v="0"/>
    <n v="24400"/>
  </r>
  <r>
    <n v="42"/>
    <x v="7"/>
    <x v="22"/>
    <x v="0"/>
    <x v="1"/>
    <x v="1"/>
    <n v="500000"/>
    <x v="39"/>
    <x v="2"/>
    <x v="0"/>
    <n v="14000"/>
  </r>
  <r>
    <n v="43"/>
    <x v="7"/>
    <x v="28"/>
    <x v="7"/>
    <x v="0"/>
    <x v="0"/>
    <n v="1860000"/>
    <x v="40"/>
    <x v="6"/>
    <x v="3"/>
    <n v="14300"/>
  </r>
  <r>
    <n v="44"/>
    <x v="7"/>
    <x v="13"/>
    <x v="9"/>
    <x v="0"/>
    <x v="1"/>
    <n v="410000"/>
    <x v="41"/>
    <x v="5"/>
    <x v="1"/>
    <n v="19400"/>
  </r>
  <r>
    <n v="45"/>
    <x v="6"/>
    <x v="12"/>
    <x v="7"/>
    <x v="0"/>
    <x v="1"/>
    <n v="1290000"/>
    <x v="38"/>
    <x v="4"/>
    <x v="2"/>
    <n v="16600"/>
  </r>
  <r>
    <n v="46"/>
    <x v="2"/>
    <x v="2"/>
    <x v="8"/>
    <x v="0"/>
    <x v="0"/>
    <n v="2340000"/>
    <x v="42"/>
    <x v="5"/>
    <x v="1"/>
    <n v="12200"/>
  </r>
  <r>
    <n v="47"/>
    <x v="3"/>
    <x v="10"/>
    <x v="0"/>
    <x v="1"/>
    <x v="0"/>
    <n v="550000"/>
    <x v="43"/>
    <x v="2"/>
    <x v="0"/>
    <n v="14700"/>
  </r>
  <r>
    <n v="48"/>
    <x v="3"/>
    <x v="3"/>
    <x v="7"/>
    <x v="2"/>
    <x v="1"/>
    <n v="960000"/>
    <x v="44"/>
    <x v="3"/>
    <x v="1"/>
    <n v="21400"/>
  </r>
  <r>
    <n v="49"/>
    <x v="4"/>
    <x v="29"/>
    <x v="9"/>
    <x v="1"/>
    <x v="0"/>
    <n v="450000"/>
    <x v="45"/>
    <x v="6"/>
    <x v="0"/>
    <n v="8300"/>
  </r>
  <r>
    <n v="50"/>
    <x v="4"/>
    <x v="30"/>
    <x v="5"/>
    <x v="2"/>
    <x v="0"/>
    <n v="3160000"/>
    <x v="46"/>
    <x v="4"/>
    <x v="2"/>
    <n v="5500"/>
  </r>
  <r>
    <n v="51"/>
    <x v="8"/>
    <x v="31"/>
    <x v="4"/>
    <x v="0"/>
    <x v="1"/>
    <n v="2900000"/>
    <x v="17"/>
    <x v="1"/>
    <x v="0"/>
    <n v="23600"/>
  </r>
  <r>
    <n v="52"/>
    <x v="1"/>
    <x v="32"/>
    <x v="1"/>
    <x v="3"/>
    <x v="0"/>
    <n v="1410000"/>
    <x v="47"/>
    <x v="2"/>
    <x v="3"/>
    <n v="6800"/>
  </r>
  <r>
    <n v="53"/>
    <x v="6"/>
    <x v="33"/>
    <x v="3"/>
    <x v="2"/>
    <x v="1"/>
    <n v="2480000"/>
    <x v="48"/>
    <x v="6"/>
    <x v="0"/>
    <n v="23400"/>
  </r>
  <r>
    <n v="54"/>
    <x v="1"/>
    <x v="23"/>
    <x v="5"/>
    <x v="1"/>
    <x v="0"/>
    <n v="1320000"/>
    <x v="49"/>
    <x v="3"/>
    <x v="2"/>
    <n v="9100"/>
  </r>
  <r>
    <n v="55"/>
    <x v="8"/>
    <x v="15"/>
    <x v="1"/>
    <x v="3"/>
    <x v="1"/>
    <n v="430000"/>
    <x v="50"/>
    <x v="5"/>
    <x v="2"/>
    <n v="18600"/>
  </r>
  <r>
    <n v="56"/>
    <x v="0"/>
    <x v="0"/>
    <x v="1"/>
    <x v="3"/>
    <x v="0"/>
    <n v="3410000"/>
    <x v="51"/>
    <x v="5"/>
    <x v="3"/>
    <n v="16500"/>
  </r>
  <r>
    <n v="57"/>
    <x v="0"/>
    <x v="0"/>
    <x v="8"/>
    <x v="3"/>
    <x v="0"/>
    <n v="890000"/>
    <x v="52"/>
    <x v="6"/>
    <x v="1"/>
    <n v="8400"/>
  </r>
  <r>
    <n v="58"/>
    <x v="6"/>
    <x v="34"/>
    <x v="4"/>
    <x v="3"/>
    <x v="1"/>
    <n v="1860000"/>
    <x v="53"/>
    <x v="2"/>
    <x v="1"/>
    <n v="23800"/>
  </r>
  <r>
    <n v="59"/>
    <x v="8"/>
    <x v="27"/>
    <x v="2"/>
    <x v="1"/>
    <x v="1"/>
    <n v="3070000"/>
    <x v="54"/>
    <x v="4"/>
    <x v="3"/>
    <n v="23000"/>
  </r>
  <r>
    <n v="60"/>
    <x v="0"/>
    <x v="18"/>
    <x v="2"/>
    <x v="1"/>
    <x v="0"/>
    <n v="690000"/>
    <x v="55"/>
    <x v="6"/>
    <x v="0"/>
    <n v="21400"/>
  </r>
  <r>
    <n v="61"/>
    <x v="9"/>
    <x v="35"/>
    <x v="0"/>
    <x v="2"/>
    <x v="1"/>
    <n v="2830000"/>
    <x v="10"/>
    <x v="0"/>
    <x v="3"/>
    <n v="14500"/>
  </r>
  <r>
    <n v="62"/>
    <x v="7"/>
    <x v="28"/>
    <x v="5"/>
    <x v="1"/>
    <x v="0"/>
    <n v="3370000"/>
    <x v="14"/>
    <x v="0"/>
    <x v="1"/>
    <n v="11100"/>
  </r>
  <r>
    <n v="63"/>
    <x v="6"/>
    <x v="12"/>
    <x v="2"/>
    <x v="0"/>
    <x v="1"/>
    <n v="490000"/>
    <x v="56"/>
    <x v="5"/>
    <x v="0"/>
    <n v="5300"/>
  </r>
  <r>
    <n v="64"/>
    <x v="1"/>
    <x v="23"/>
    <x v="7"/>
    <x v="3"/>
    <x v="0"/>
    <n v="2970000"/>
    <x v="57"/>
    <x v="3"/>
    <x v="2"/>
    <n v="13100"/>
  </r>
  <r>
    <n v="65"/>
    <x v="7"/>
    <x v="28"/>
    <x v="8"/>
    <x v="2"/>
    <x v="0"/>
    <n v="1780000"/>
    <x v="58"/>
    <x v="1"/>
    <x v="1"/>
    <n v="17900"/>
  </r>
  <r>
    <n v="66"/>
    <x v="1"/>
    <x v="5"/>
    <x v="2"/>
    <x v="1"/>
    <x v="0"/>
    <n v="2190000"/>
    <x v="59"/>
    <x v="6"/>
    <x v="3"/>
    <n v="7100"/>
  </r>
  <r>
    <n v="67"/>
    <x v="8"/>
    <x v="17"/>
    <x v="5"/>
    <x v="1"/>
    <x v="0"/>
    <n v="2300000"/>
    <x v="60"/>
    <x v="1"/>
    <x v="0"/>
    <n v="11700"/>
  </r>
  <r>
    <n v="68"/>
    <x v="1"/>
    <x v="5"/>
    <x v="5"/>
    <x v="1"/>
    <x v="1"/>
    <n v="2650000"/>
    <x v="61"/>
    <x v="6"/>
    <x v="2"/>
    <n v="24700"/>
  </r>
  <r>
    <n v="69"/>
    <x v="9"/>
    <x v="36"/>
    <x v="9"/>
    <x v="3"/>
    <x v="1"/>
    <n v="1680000"/>
    <x v="62"/>
    <x v="1"/>
    <x v="2"/>
    <n v="24000"/>
  </r>
  <r>
    <n v="70"/>
    <x v="8"/>
    <x v="37"/>
    <x v="4"/>
    <x v="3"/>
    <x v="1"/>
    <n v="1700000"/>
    <x v="4"/>
    <x v="0"/>
    <x v="0"/>
    <n v="23500"/>
  </r>
  <r>
    <n v="71"/>
    <x v="0"/>
    <x v="6"/>
    <x v="1"/>
    <x v="1"/>
    <x v="1"/>
    <n v="1630000"/>
    <x v="63"/>
    <x v="0"/>
    <x v="0"/>
    <n v="17700"/>
  </r>
  <r>
    <n v="72"/>
    <x v="9"/>
    <x v="38"/>
    <x v="5"/>
    <x v="3"/>
    <x v="0"/>
    <n v="1720000"/>
    <x v="35"/>
    <x v="1"/>
    <x v="2"/>
    <n v="21900"/>
  </r>
  <r>
    <n v="73"/>
    <x v="3"/>
    <x v="39"/>
    <x v="9"/>
    <x v="3"/>
    <x v="1"/>
    <n v="940000"/>
    <x v="64"/>
    <x v="5"/>
    <x v="0"/>
    <n v="9900"/>
  </r>
  <r>
    <n v="74"/>
    <x v="6"/>
    <x v="34"/>
    <x v="7"/>
    <x v="1"/>
    <x v="0"/>
    <n v="3090000"/>
    <x v="65"/>
    <x v="5"/>
    <x v="2"/>
    <n v="15800"/>
  </r>
  <r>
    <n v="75"/>
    <x v="0"/>
    <x v="6"/>
    <x v="2"/>
    <x v="1"/>
    <x v="0"/>
    <n v="3260000"/>
    <x v="66"/>
    <x v="3"/>
    <x v="0"/>
    <n v="6300"/>
  </r>
  <r>
    <n v="76"/>
    <x v="6"/>
    <x v="40"/>
    <x v="7"/>
    <x v="2"/>
    <x v="1"/>
    <n v="2150000"/>
    <x v="58"/>
    <x v="4"/>
    <x v="2"/>
    <n v="5300"/>
  </r>
  <r>
    <n v="77"/>
    <x v="7"/>
    <x v="13"/>
    <x v="3"/>
    <x v="2"/>
    <x v="0"/>
    <n v="1720000"/>
    <x v="67"/>
    <x v="2"/>
    <x v="3"/>
    <n v="6900"/>
  </r>
  <r>
    <n v="78"/>
    <x v="9"/>
    <x v="41"/>
    <x v="8"/>
    <x v="1"/>
    <x v="1"/>
    <n v="2070000"/>
    <x v="68"/>
    <x v="1"/>
    <x v="3"/>
    <n v="19700"/>
  </r>
  <r>
    <n v="79"/>
    <x v="3"/>
    <x v="10"/>
    <x v="0"/>
    <x v="1"/>
    <x v="1"/>
    <n v="2040000"/>
    <x v="42"/>
    <x v="1"/>
    <x v="3"/>
    <n v="14700"/>
  </r>
  <r>
    <n v="80"/>
    <x v="7"/>
    <x v="21"/>
    <x v="8"/>
    <x v="0"/>
    <x v="0"/>
    <n v="1990000"/>
    <x v="40"/>
    <x v="0"/>
    <x v="2"/>
    <n v="21600"/>
  </r>
  <r>
    <n v="81"/>
    <x v="8"/>
    <x v="31"/>
    <x v="5"/>
    <x v="1"/>
    <x v="1"/>
    <n v="820000"/>
    <x v="69"/>
    <x v="1"/>
    <x v="3"/>
    <n v="11700"/>
  </r>
  <r>
    <n v="82"/>
    <x v="4"/>
    <x v="7"/>
    <x v="5"/>
    <x v="1"/>
    <x v="0"/>
    <n v="1080000"/>
    <x v="70"/>
    <x v="4"/>
    <x v="0"/>
    <n v="24200"/>
  </r>
  <r>
    <n v="83"/>
    <x v="2"/>
    <x v="25"/>
    <x v="6"/>
    <x v="2"/>
    <x v="1"/>
    <n v="1510000"/>
    <x v="71"/>
    <x v="3"/>
    <x v="0"/>
    <n v="14200"/>
  </r>
  <r>
    <n v="84"/>
    <x v="0"/>
    <x v="42"/>
    <x v="7"/>
    <x v="1"/>
    <x v="1"/>
    <n v="850000"/>
    <x v="72"/>
    <x v="4"/>
    <x v="3"/>
    <n v="10200"/>
  </r>
  <r>
    <n v="85"/>
    <x v="8"/>
    <x v="15"/>
    <x v="9"/>
    <x v="3"/>
    <x v="1"/>
    <n v="1450000"/>
    <x v="42"/>
    <x v="3"/>
    <x v="3"/>
    <n v="16700"/>
  </r>
  <r>
    <n v="86"/>
    <x v="1"/>
    <x v="23"/>
    <x v="7"/>
    <x v="2"/>
    <x v="1"/>
    <n v="1930000"/>
    <x v="73"/>
    <x v="2"/>
    <x v="3"/>
    <n v="18300"/>
  </r>
  <r>
    <n v="87"/>
    <x v="1"/>
    <x v="1"/>
    <x v="2"/>
    <x v="1"/>
    <x v="1"/>
    <n v="1310000"/>
    <x v="33"/>
    <x v="2"/>
    <x v="2"/>
    <n v="22700"/>
  </r>
  <r>
    <n v="88"/>
    <x v="5"/>
    <x v="8"/>
    <x v="2"/>
    <x v="0"/>
    <x v="0"/>
    <n v="520000"/>
    <x v="74"/>
    <x v="4"/>
    <x v="3"/>
    <n v="14600"/>
  </r>
  <r>
    <n v="89"/>
    <x v="0"/>
    <x v="14"/>
    <x v="2"/>
    <x v="0"/>
    <x v="0"/>
    <n v="2560000"/>
    <x v="75"/>
    <x v="3"/>
    <x v="0"/>
    <n v="22900"/>
  </r>
  <r>
    <n v="90"/>
    <x v="9"/>
    <x v="41"/>
    <x v="6"/>
    <x v="2"/>
    <x v="1"/>
    <n v="1790000"/>
    <x v="8"/>
    <x v="4"/>
    <x v="1"/>
    <n v="8800"/>
  </r>
  <r>
    <n v="91"/>
    <x v="4"/>
    <x v="43"/>
    <x v="8"/>
    <x v="3"/>
    <x v="0"/>
    <n v="1770000"/>
    <x v="76"/>
    <x v="6"/>
    <x v="3"/>
    <n v="18000"/>
  </r>
  <r>
    <n v="92"/>
    <x v="9"/>
    <x v="41"/>
    <x v="4"/>
    <x v="1"/>
    <x v="0"/>
    <n v="2750000"/>
    <x v="60"/>
    <x v="3"/>
    <x v="0"/>
    <n v="18900"/>
  </r>
  <r>
    <n v="93"/>
    <x v="4"/>
    <x v="7"/>
    <x v="9"/>
    <x v="0"/>
    <x v="0"/>
    <n v="3240000"/>
    <x v="62"/>
    <x v="3"/>
    <x v="0"/>
    <n v="10400"/>
  </r>
  <r>
    <n v="94"/>
    <x v="7"/>
    <x v="28"/>
    <x v="1"/>
    <x v="3"/>
    <x v="1"/>
    <n v="1210000"/>
    <x v="77"/>
    <x v="2"/>
    <x v="1"/>
    <n v="9000"/>
  </r>
  <r>
    <n v="95"/>
    <x v="0"/>
    <x v="0"/>
    <x v="8"/>
    <x v="3"/>
    <x v="0"/>
    <n v="2360000"/>
    <x v="7"/>
    <x v="0"/>
    <x v="3"/>
    <n v="13000"/>
  </r>
  <r>
    <n v="96"/>
    <x v="4"/>
    <x v="24"/>
    <x v="8"/>
    <x v="0"/>
    <x v="0"/>
    <n v="3300000"/>
    <x v="78"/>
    <x v="5"/>
    <x v="2"/>
    <n v="24200"/>
  </r>
  <r>
    <n v="97"/>
    <x v="3"/>
    <x v="10"/>
    <x v="6"/>
    <x v="0"/>
    <x v="1"/>
    <n v="1610000"/>
    <x v="79"/>
    <x v="0"/>
    <x v="0"/>
    <n v="23600"/>
  </r>
  <r>
    <n v="98"/>
    <x v="2"/>
    <x v="44"/>
    <x v="5"/>
    <x v="1"/>
    <x v="0"/>
    <n v="1370000"/>
    <x v="80"/>
    <x v="6"/>
    <x v="1"/>
    <n v="13400"/>
  </r>
  <r>
    <n v="99"/>
    <x v="9"/>
    <x v="26"/>
    <x v="6"/>
    <x v="1"/>
    <x v="1"/>
    <n v="3320000"/>
    <x v="81"/>
    <x v="3"/>
    <x v="2"/>
    <n v="10300"/>
  </r>
  <r>
    <n v="100"/>
    <x v="9"/>
    <x v="38"/>
    <x v="5"/>
    <x v="3"/>
    <x v="1"/>
    <n v="2470000"/>
    <x v="82"/>
    <x v="3"/>
    <x v="3"/>
    <n v="23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2FFF36-0148-4A82-9222-91DF8D413E31}" name="total cars by se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seats">
  <location ref="G2:H7" firstHeaderRow="1" firstDataRow="1" firstDataCol="1"/>
  <pivotFields count="11">
    <pivotField showAll="0"/>
    <pivotField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items count="5">
        <item x="0"/>
        <item x="1"/>
        <item x="3"/>
        <item x="2"/>
        <item t="default"/>
      </items>
    </pivotField>
    <pivotField showAll="0"/>
    <pivotField showAll="0"/>
    <pivotField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pivotField axis="axisRow" dataField="1" showAll="0">
      <items count="5">
        <item x="0"/>
        <item x="3"/>
        <item x="2"/>
        <item x="1"/>
        <item t="default"/>
      </items>
    </pivotField>
    <pivotField numFmtId="164" showAll="0"/>
  </pivotFields>
  <rowFields count="1">
    <field x="9"/>
  </rowFields>
  <rowItems count="5">
    <i>
      <x/>
    </i>
    <i>
      <x v="1"/>
    </i>
    <i>
      <x v="2"/>
    </i>
    <i>
      <x v="3"/>
    </i>
    <i t="grand">
      <x/>
    </i>
  </rowItems>
  <colItems count="1">
    <i/>
  </colItems>
  <dataFields count="1">
    <dataField name="Count of cars" fld="9"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A68DA-BC15-4D83-9FA3-216B9B23696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Brands">
  <location ref="D40:E51" firstHeaderRow="1" firstDataRow="1" firstDataCol="1"/>
  <pivotFields count="11">
    <pivotField showAll="0"/>
    <pivotField axis="axisRow"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items count="5">
        <item x="0"/>
        <item x="1"/>
        <item x="3"/>
        <item x="2"/>
        <item t="default"/>
      </items>
    </pivotField>
    <pivotField showAll="0"/>
    <pivotField showAll="0"/>
    <pivotField dataField="1"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items count="8">
        <item x="0"/>
        <item x="3"/>
        <item x="6"/>
        <item x="5"/>
        <item x="4"/>
        <item x="2"/>
        <item x="1"/>
        <item t="default"/>
      </items>
    </pivotField>
    <pivotField showAll="0">
      <items count="5">
        <item x="0"/>
        <item x="3"/>
        <item x="2"/>
        <item x="1"/>
        <item t="default"/>
      </items>
    </pivotField>
    <pivotField numFmtId="164" showAll="0"/>
  </pivotFields>
  <rowFields count="1">
    <field x="1"/>
  </rowFields>
  <rowItems count="11">
    <i>
      <x/>
    </i>
    <i>
      <x v="1"/>
    </i>
    <i>
      <x v="2"/>
    </i>
    <i>
      <x v="3"/>
    </i>
    <i>
      <x v="4"/>
    </i>
    <i>
      <x v="5"/>
    </i>
    <i>
      <x v="6"/>
    </i>
    <i>
      <x v="7"/>
    </i>
    <i>
      <x v="8"/>
    </i>
    <i>
      <x v="9"/>
    </i>
    <i t="grand">
      <x/>
    </i>
  </rowItems>
  <colItems count="1">
    <i/>
  </colItems>
  <dataFields count="1">
    <dataField name="Sum of Mileag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8860FF-FCC1-4B3A-B955-36821852DF14}" name="sum milage by fuel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fuel type">
  <location ref="G26:H31" firstHeaderRow="1" firstDataRow="1" firstDataCol="1"/>
  <pivotFields count="11">
    <pivotField showAll="0"/>
    <pivotField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axis="axisRow" showAll="0">
      <items count="5">
        <item x="0"/>
        <item x="1"/>
        <item x="3"/>
        <item x="2"/>
        <item t="default"/>
      </items>
    </pivotField>
    <pivotField showAll="0"/>
    <pivotField showAll="0"/>
    <pivotField dataField="1"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pivotField showAll="0"/>
    <pivotField numFmtId="164" showAll="0"/>
  </pivotFields>
  <rowFields count="1">
    <field x="4"/>
  </rowFields>
  <rowItems count="5">
    <i>
      <x/>
    </i>
    <i>
      <x v="1"/>
    </i>
    <i>
      <x v="2"/>
    </i>
    <i>
      <x v="3"/>
    </i>
    <i t="grand">
      <x/>
    </i>
  </rowItems>
  <colItems count="1">
    <i/>
  </colItems>
  <dataFields count="1">
    <dataField name="Sum of Mileage" fld="7"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C421D6-2228-409E-BDC5-41115FE7BD5D}" name="sale of cars in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Year">
  <location ref="J26:K37" firstHeaderRow="1" firstDataRow="1" firstDataCol="1"/>
  <pivotFields count="11">
    <pivotField showAll="0"/>
    <pivotField showAll="0">
      <items count="11">
        <item x="3"/>
        <item x="9"/>
        <item x="1"/>
        <item x="6"/>
        <item x="2"/>
        <item x="5"/>
        <item x="8"/>
        <item x="7"/>
        <item x="0"/>
        <item x="4"/>
        <item t="default"/>
      </items>
    </pivotField>
    <pivotField showAll="0"/>
    <pivotField axis="axisRow" showAll="0">
      <items count="11">
        <item x="4"/>
        <item x="2"/>
        <item x="6"/>
        <item x="8"/>
        <item x="3"/>
        <item x="5"/>
        <item x="9"/>
        <item x="7"/>
        <item x="1"/>
        <item x="0"/>
        <item t="default"/>
      </items>
    </pivotField>
    <pivotField showAll="0">
      <items count="5">
        <item x="0"/>
        <item x="1"/>
        <item x="3"/>
        <item x="2"/>
        <item t="default"/>
      </items>
    </pivotField>
    <pivotField showAll="0"/>
    <pivotField dataField="1" showAll="0"/>
    <pivotField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pivotField showAll="0"/>
    <pivotField numFmtId="164" showAll="0"/>
  </pivotFields>
  <rowFields count="1">
    <field x="3"/>
  </rowFields>
  <rowItems count="11">
    <i>
      <x/>
    </i>
    <i>
      <x v="1"/>
    </i>
    <i>
      <x v="2"/>
    </i>
    <i>
      <x v="3"/>
    </i>
    <i>
      <x v="4"/>
    </i>
    <i>
      <x v="5"/>
    </i>
    <i>
      <x v="6"/>
    </i>
    <i>
      <x v="7"/>
    </i>
    <i>
      <x v="8"/>
    </i>
    <i>
      <x v="9"/>
    </i>
    <i t="grand">
      <x/>
    </i>
  </rowItems>
  <colItems count="1">
    <i/>
  </colItems>
  <dataFields count="1">
    <dataField name="Total sells" fld="6" baseField="3" baseItem="0"/>
  </dataFields>
  <chartFormats count="4">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6B51F7-1C38-438C-B80A-9D5C2D59F508}" name="Brand and their avg mil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Brands">
  <location ref="M2:N13" firstHeaderRow="1" firstDataRow="1" firstDataCol="1"/>
  <pivotFields count="11">
    <pivotField showAll="0"/>
    <pivotField axis="axisRow"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items count="5">
        <item x="0"/>
        <item x="1"/>
        <item x="3"/>
        <item x="2"/>
        <item t="default"/>
      </items>
    </pivotField>
    <pivotField showAll="0"/>
    <pivotField showAll="0"/>
    <pivotField dataField="1"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pivotField showAll="0">
      <items count="5">
        <item x="0"/>
        <item x="3"/>
        <item x="2"/>
        <item x="1"/>
        <item t="default"/>
      </items>
    </pivotField>
    <pivotField numFmtId="164" showAll="0"/>
  </pivotFields>
  <rowFields count="1">
    <field x="1"/>
  </rowFields>
  <rowItems count="11">
    <i>
      <x/>
    </i>
    <i>
      <x v="1"/>
    </i>
    <i>
      <x v="2"/>
    </i>
    <i>
      <x v="3"/>
    </i>
    <i>
      <x v="4"/>
    </i>
    <i>
      <x v="5"/>
    </i>
    <i>
      <x v="6"/>
    </i>
    <i>
      <x v="7"/>
    </i>
    <i>
      <x v="8"/>
    </i>
    <i>
      <x v="9"/>
    </i>
    <i t="grand">
      <x/>
    </i>
  </rowItems>
  <colItems count="1">
    <i/>
  </colItems>
  <dataFields count="1">
    <dataField name="Average of Mileage" fld="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153D02-942F-46BE-8F45-B5A258CF2E7E}" name="service cost by fu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Fuel type">
  <location ref="G40:H45" firstHeaderRow="1" firstDataRow="1" firstDataCol="1"/>
  <pivotFields count="11">
    <pivotField showAll="0"/>
    <pivotField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axis="axisRow" showAll="0">
      <items count="5">
        <item x="0"/>
        <item x="1"/>
        <item x="3"/>
        <item x="2"/>
        <item t="default"/>
      </items>
    </pivotField>
    <pivotField showAll="0"/>
    <pivotField showAll="0"/>
    <pivotField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items count="8">
        <item x="0"/>
        <item x="3"/>
        <item x="6"/>
        <item x="5"/>
        <item x="4"/>
        <item x="2"/>
        <item x="1"/>
        <item t="default"/>
      </items>
    </pivotField>
    <pivotField showAll="0">
      <items count="5">
        <item x="0"/>
        <item x="3"/>
        <item x="2"/>
        <item x="1"/>
        <item t="default"/>
      </items>
    </pivotField>
    <pivotField dataField="1" numFmtId="164" showAll="0"/>
  </pivotFields>
  <rowFields count="1">
    <field x="4"/>
  </rowFields>
  <rowItems count="5">
    <i>
      <x/>
    </i>
    <i>
      <x v="1"/>
    </i>
    <i>
      <x v="2"/>
    </i>
    <i>
      <x v="3"/>
    </i>
    <i t="grand">
      <x/>
    </i>
  </rowItems>
  <colItems count="1">
    <i/>
  </colItems>
  <dataFields count="1">
    <dataField name="Sum of Service_Cost" fld="10" baseField="0" baseItem="0" numFmtId="164"/>
  </dataFields>
  <chartFormats count="18">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7" format="2">
      <pivotArea type="data" outline="0" fieldPosition="0">
        <references count="2">
          <reference field="4294967294" count="1" selected="0">
            <x v="0"/>
          </reference>
          <reference field="4" count="1" selected="0">
            <x v="0"/>
          </reference>
        </references>
      </pivotArea>
    </chartFormat>
    <chartFormat chart="37" format="3">
      <pivotArea type="data" outline="0" fieldPosition="0">
        <references count="2">
          <reference field="4294967294" count="1" selected="0">
            <x v="0"/>
          </reference>
          <reference field="4" count="1" selected="0">
            <x v="1"/>
          </reference>
        </references>
      </pivotArea>
    </chartFormat>
    <chartFormat chart="37" format="4">
      <pivotArea type="data" outline="0" fieldPosition="0">
        <references count="2">
          <reference field="4294967294" count="1" selected="0">
            <x v="0"/>
          </reference>
          <reference field="4" count="1" selected="0">
            <x v="2"/>
          </reference>
        </references>
      </pivotArea>
    </chartFormat>
    <chartFormat chart="37" format="5">
      <pivotArea type="data" outline="0" fieldPosition="0">
        <references count="2">
          <reference field="4294967294" count="1" selected="0">
            <x v="0"/>
          </reference>
          <reference field="4" count="1" selected="0">
            <x v="3"/>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4" count="1" selected="0">
            <x v="0"/>
          </reference>
        </references>
      </pivotArea>
    </chartFormat>
    <chartFormat chart="38" format="8">
      <pivotArea type="data" outline="0" fieldPosition="0">
        <references count="2">
          <reference field="4294967294" count="1" selected="0">
            <x v="0"/>
          </reference>
          <reference field="4" count="1" selected="0">
            <x v="1"/>
          </reference>
        </references>
      </pivotArea>
    </chartFormat>
    <chartFormat chart="38" format="9">
      <pivotArea type="data" outline="0" fieldPosition="0">
        <references count="2">
          <reference field="4294967294" count="1" selected="0">
            <x v="0"/>
          </reference>
          <reference field="4" count="1" selected="0">
            <x v="2"/>
          </reference>
        </references>
      </pivotArea>
    </chartFormat>
    <chartFormat chart="38" format="10">
      <pivotArea type="data" outline="0" fieldPosition="0">
        <references count="2">
          <reference field="4294967294" count="1" selected="0">
            <x v="0"/>
          </reference>
          <reference field="4" count="1" selected="0">
            <x v="3"/>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4" count="1" selected="0">
            <x v="0"/>
          </reference>
        </references>
      </pivotArea>
    </chartFormat>
    <chartFormat chart="39" format="8">
      <pivotArea type="data" outline="0" fieldPosition="0">
        <references count="2">
          <reference field="4294967294" count="1" selected="0">
            <x v="0"/>
          </reference>
          <reference field="4" count="1" selected="0">
            <x v="1"/>
          </reference>
        </references>
      </pivotArea>
    </chartFormat>
    <chartFormat chart="39" format="9">
      <pivotArea type="data" outline="0" fieldPosition="0">
        <references count="2">
          <reference field="4294967294" count="1" selected="0">
            <x v="0"/>
          </reference>
          <reference field="4" count="1" selected="0">
            <x v="2"/>
          </reference>
        </references>
      </pivotArea>
    </chartFormat>
    <chartFormat chart="39"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9EF674-AF96-4A11-8A27-2181DEDA9F09}" name="total service cost of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Brands">
  <location ref="G9:H20" firstHeaderRow="1" firstDataRow="1" firstDataCol="1"/>
  <pivotFields count="11">
    <pivotField showAll="0"/>
    <pivotField axis="axisRow"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items count="5">
        <item x="0"/>
        <item x="1"/>
        <item x="3"/>
        <item x="2"/>
        <item t="default"/>
      </items>
    </pivotField>
    <pivotField showAll="0"/>
    <pivotField showAll="0"/>
    <pivotField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pivotField showAll="0">
      <items count="5">
        <item x="0"/>
        <item x="3"/>
        <item x="2"/>
        <item x="1"/>
        <item t="default"/>
      </items>
    </pivotField>
    <pivotField dataField="1" numFmtId="164" showAll="0"/>
  </pivotFields>
  <rowFields count="1">
    <field x="1"/>
  </rowFields>
  <rowItems count="11">
    <i>
      <x/>
    </i>
    <i>
      <x v="1"/>
    </i>
    <i>
      <x v="2"/>
    </i>
    <i>
      <x v="3"/>
    </i>
    <i>
      <x v="4"/>
    </i>
    <i>
      <x v="5"/>
    </i>
    <i>
      <x v="6"/>
    </i>
    <i>
      <x v="7"/>
    </i>
    <i>
      <x v="8"/>
    </i>
    <i>
      <x v="9"/>
    </i>
    <i t="grand">
      <x/>
    </i>
  </rowItems>
  <colItems count="1">
    <i/>
  </colItems>
  <dataFields count="1">
    <dataField name="Sum of Service_Cos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E2DDEA-96CB-4807-B3E0-7BC4869AC629}" name="count car by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Brands" fieldListSortAscending="1">
  <location ref="D26:E37" firstHeaderRow="1" firstDataRow="1" firstDataCol="1"/>
  <pivotFields count="11">
    <pivotField dataField="1" showAll="0"/>
    <pivotField axis="axisRow"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pivotField showAll="0"/>
    <pivotField showAll="0"/>
    <pivotField showAll="0"/>
    <pivotField showAll="0"/>
    <pivotField showAll="0"/>
    <pivotField numFmtId="164" showAll="0"/>
  </pivotFields>
  <rowFields count="1">
    <field x="1"/>
  </rowFields>
  <rowItems count="11">
    <i>
      <x/>
    </i>
    <i>
      <x v="1"/>
    </i>
    <i>
      <x v="2"/>
    </i>
    <i>
      <x v="3"/>
    </i>
    <i>
      <x v="4"/>
    </i>
    <i>
      <x v="5"/>
    </i>
    <i>
      <x v="6"/>
    </i>
    <i>
      <x v="7"/>
    </i>
    <i>
      <x v="8"/>
    </i>
    <i>
      <x v="9"/>
    </i>
    <i t="grand">
      <x/>
    </i>
  </rowItems>
  <colItems count="1">
    <i/>
  </colItems>
  <dataFields count="1">
    <dataField name="Count of Car"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A920DF-1693-478E-B4BC-D67A9AABA30E}" name="Brands and their transmis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Brands" colHeaderCaption="Transmission">
  <location ref="J40:M52" firstHeaderRow="1" firstDataRow="2" firstDataCol="1"/>
  <pivotFields count="11">
    <pivotField dataField="1" showAll="0"/>
    <pivotField axis="axisRow"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items count="5">
        <item x="0"/>
        <item x="1"/>
        <item x="3"/>
        <item x="2"/>
        <item t="default"/>
      </items>
    </pivotField>
    <pivotField axis="axisCol" showAll="0">
      <items count="3">
        <item x="1"/>
        <item x="0"/>
        <item t="default"/>
      </items>
    </pivotField>
    <pivotField showAll="0"/>
    <pivotField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items count="8">
        <item x="0"/>
        <item x="3"/>
        <item x="6"/>
        <item x="5"/>
        <item x="4"/>
        <item x="2"/>
        <item x="1"/>
        <item t="default"/>
      </items>
    </pivotField>
    <pivotField showAll="0">
      <items count="5">
        <item x="0"/>
        <item x="3"/>
        <item x="2"/>
        <item x="1"/>
        <item t="default"/>
      </items>
    </pivotField>
    <pivotField numFmtId="164" showAll="0"/>
  </pivotFields>
  <rowFields count="1">
    <field x="1"/>
  </rowFields>
  <rowItems count="11">
    <i>
      <x/>
    </i>
    <i>
      <x v="1"/>
    </i>
    <i>
      <x v="2"/>
    </i>
    <i>
      <x v="3"/>
    </i>
    <i>
      <x v="4"/>
    </i>
    <i>
      <x v="5"/>
    </i>
    <i>
      <x v="6"/>
    </i>
    <i>
      <x v="7"/>
    </i>
    <i>
      <x v="8"/>
    </i>
    <i>
      <x v="9"/>
    </i>
    <i t="grand">
      <x/>
    </i>
  </rowItems>
  <colFields count="1">
    <field x="5"/>
  </colFields>
  <colItems count="3">
    <i>
      <x/>
    </i>
    <i>
      <x v="1"/>
    </i>
    <i t="grand">
      <x/>
    </i>
  </colItems>
  <dataFields count="1">
    <dataField name="Count of Car_ID" fld="0" subtotal="count" baseField="1" baseItem="0"/>
  </dataFields>
  <chartFormats count="2">
    <chartFormat chart="31" format="4" series="1">
      <pivotArea type="data" outline="0" fieldPosition="0">
        <references count="2">
          <reference field="4294967294" count="1" selected="0">
            <x v="0"/>
          </reference>
          <reference field="5" count="1" selected="0">
            <x v="0"/>
          </reference>
        </references>
      </pivotArea>
    </chartFormat>
    <chartFormat chart="31"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D71EA9-E6B1-415D-9EE4-F10B7867174E}" name="avg price by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Brands">
  <location ref="A26:B37" firstHeaderRow="1" firstDataRow="1" firstDataCol="1"/>
  <pivotFields count="11">
    <pivotField showAll="0"/>
    <pivotField axis="axisRow"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pivotField showAll="0"/>
    <pivotField dataField="1" showAll="0"/>
    <pivotField showAll="0"/>
    <pivotField showAll="0"/>
    <pivotField showAll="0"/>
    <pivotField numFmtId="164" showAll="0"/>
  </pivotFields>
  <rowFields count="1">
    <field x="1"/>
  </rowFields>
  <rowItems count="11">
    <i>
      <x/>
    </i>
    <i>
      <x v="1"/>
    </i>
    <i>
      <x v="2"/>
    </i>
    <i>
      <x v="3"/>
    </i>
    <i>
      <x v="4"/>
    </i>
    <i>
      <x v="5"/>
    </i>
    <i>
      <x v="6"/>
    </i>
    <i>
      <x v="7"/>
    </i>
    <i>
      <x v="8"/>
    </i>
    <i>
      <x v="9"/>
    </i>
    <i t="grand">
      <x/>
    </i>
  </rowItems>
  <colItems count="1">
    <i/>
  </colItems>
  <dataFields count="1">
    <dataField name="Average of Price" fld="6" subtotal="average" baseField="1" baseItem="0"/>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B3ADCC-085C-4F44-9A4E-408CC3460DCF}" name="Total sale per transmis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rowHeaderCaption="Transmission">
  <location ref="G34:H37" firstHeaderRow="1" firstDataRow="1" firstDataCol="1"/>
  <pivotFields count="11">
    <pivotField showAll="0"/>
    <pivotField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items count="5">
        <item x="0"/>
        <item x="1"/>
        <item x="3"/>
        <item x="2"/>
        <item t="default"/>
      </items>
    </pivotField>
    <pivotField axis="axisRow" showAll="0">
      <items count="3">
        <item x="1"/>
        <item x="0"/>
        <item t="default"/>
      </items>
    </pivotField>
    <pivotField dataField="1" showAll="0"/>
    <pivotField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pivotField showAll="0"/>
    <pivotField numFmtId="164" showAll="0"/>
  </pivotFields>
  <rowFields count="1">
    <field x="5"/>
  </rowFields>
  <rowItems count="3">
    <i>
      <x/>
    </i>
    <i>
      <x v="1"/>
    </i>
    <i t="grand">
      <x/>
    </i>
  </rowItems>
  <colItems count="1">
    <i/>
  </colItems>
  <dataFields count="1">
    <dataField name="Average of Price" fld="6" subtotal="average" baseField="5" baseItem="0"/>
  </dataFields>
  <chartFormats count="4">
    <chartFormat chart="63" format="0" series="1">
      <pivotArea type="data" outline="0" fieldPosition="0">
        <references count="1">
          <reference field="4294967294" count="1" selected="0">
            <x v="0"/>
          </reference>
        </references>
      </pivotArea>
    </chartFormat>
    <chartFormat chart="66" format="4" series="1">
      <pivotArea type="data" outline="0" fieldPosition="0">
        <references count="1">
          <reference field="4294967294" count="1" selected="0">
            <x v="0"/>
          </reference>
        </references>
      </pivotArea>
    </chartFormat>
    <chartFormat chart="66" format="5">
      <pivotArea type="data" outline="0" fieldPosition="0">
        <references count="2">
          <reference field="4294967294" count="1" selected="0">
            <x v="0"/>
          </reference>
          <reference field="5" count="1" selected="0">
            <x v="0"/>
          </reference>
        </references>
      </pivotArea>
    </chartFormat>
    <chartFormat chart="66"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D12EA8-83CE-4A1E-BE8A-B21D8AE4AEFD}" name="Total of EngineC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rowHeaderCaption="EngineCC">
  <location ref="A40:B47" firstHeaderRow="1" firstDataRow="1" firstDataCol="1"/>
  <pivotFields count="11">
    <pivotField dataField="1" showAll="0"/>
    <pivotField showAll="0">
      <items count="11">
        <item x="3"/>
        <item x="9"/>
        <item x="1"/>
        <item x="6"/>
        <item x="2"/>
        <item x="5"/>
        <item x="8"/>
        <item x="7"/>
        <item x="0"/>
        <item x="4"/>
        <item t="default"/>
      </items>
    </pivotField>
    <pivotField showAll="0"/>
    <pivotField showAll="0">
      <items count="11">
        <item x="4"/>
        <item x="2"/>
        <item x="6"/>
        <item x="8"/>
        <item x="3"/>
        <item x="5"/>
        <item x="9"/>
        <item x="7"/>
        <item x="1"/>
        <item x="0"/>
        <item t="default"/>
      </items>
    </pivotField>
    <pivotField showAll="0">
      <items count="5">
        <item x="0"/>
        <item x="1"/>
        <item x="3"/>
        <item x="2"/>
        <item t="default"/>
      </items>
    </pivotField>
    <pivotField showAll="0"/>
    <pivotField showAll="0"/>
    <pivotField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axis="axisRow" showAll="0">
      <items count="8">
        <item h="1" x="0"/>
        <item x="3"/>
        <item x="6"/>
        <item x="5"/>
        <item x="4"/>
        <item x="2"/>
        <item x="1"/>
        <item t="default"/>
      </items>
    </pivotField>
    <pivotField showAll="0">
      <items count="5">
        <item x="0"/>
        <item x="3"/>
        <item x="2"/>
        <item x="1"/>
        <item t="default"/>
      </items>
    </pivotField>
    <pivotField numFmtId="164" showAll="0"/>
  </pivotFields>
  <rowFields count="1">
    <field x="8"/>
  </rowFields>
  <rowItems count="7">
    <i>
      <x v="1"/>
    </i>
    <i>
      <x v="2"/>
    </i>
    <i>
      <x v="3"/>
    </i>
    <i>
      <x v="4"/>
    </i>
    <i>
      <x v="5"/>
    </i>
    <i>
      <x v="6"/>
    </i>
    <i t="grand">
      <x/>
    </i>
  </rowItems>
  <colItems count="1">
    <i/>
  </colItems>
  <dataFields count="1">
    <dataField name="Count of Car_ID" fld="0" subtotal="count" baseField="8" baseItem="1"/>
  </dataFields>
  <chartFormats count="1">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700F23-3F16-4E97-9A28-06B1B1FCE53F}" name="model of car in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Year">
  <location ref="J2:K13" firstHeaderRow="1" firstDataRow="1" firstDataCol="1"/>
  <pivotFields count="11">
    <pivotField showAll="0"/>
    <pivotField showAll="0">
      <items count="11">
        <item x="3"/>
        <item x="9"/>
        <item x="1"/>
        <item x="6"/>
        <item x="2"/>
        <item x="5"/>
        <item x="8"/>
        <item x="7"/>
        <item x="0"/>
        <item x="4"/>
        <item t="default"/>
      </items>
    </pivotField>
    <pivotField dataField="1" showAll="0"/>
    <pivotField axis="axisRow" showAll="0">
      <items count="11">
        <item x="4"/>
        <item x="2"/>
        <item x="6"/>
        <item x="8"/>
        <item x="3"/>
        <item x="5"/>
        <item x="9"/>
        <item x="7"/>
        <item x="1"/>
        <item x="0"/>
        <item t="default"/>
      </items>
    </pivotField>
    <pivotField showAll="0">
      <items count="5">
        <item x="0"/>
        <item x="1"/>
        <item x="3"/>
        <item x="2"/>
        <item t="default"/>
      </items>
    </pivotField>
    <pivotField showAll="0"/>
    <pivotField showAll="0"/>
    <pivotField showAll="0">
      <items count="84">
        <item x="29"/>
        <item x="66"/>
        <item x="8"/>
        <item x="78"/>
        <item x="36"/>
        <item x="11"/>
        <item x="14"/>
        <item x="61"/>
        <item x="54"/>
        <item x="33"/>
        <item x="71"/>
        <item x="20"/>
        <item x="47"/>
        <item x="57"/>
        <item x="41"/>
        <item x="58"/>
        <item x="17"/>
        <item x="76"/>
        <item x="25"/>
        <item x="28"/>
        <item x="45"/>
        <item x="82"/>
        <item x="70"/>
        <item x="37"/>
        <item x="15"/>
        <item x="72"/>
        <item x="68"/>
        <item x="24"/>
        <item x="4"/>
        <item x="34"/>
        <item x="9"/>
        <item x="1"/>
        <item x="22"/>
        <item x="81"/>
        <item x="39"/>
        <item x="10"/>
        <item x="67"/>
        <item x="2"/>
        <item x="79"/>
        <item x="46"/>
        <item x="3"/>
        <item x="73"/>
        <item x="40"/>
        <item x="7"/>
        <item x="44"/>
        <item x="77"/>
        <item x="49"/>
        <item x="21"/>
        <item x="26"/>
        <item x="5"/>
        <item x="16"/>
        <item x="48"/>
        <item x="27"/>
        <item x="60"/>
        <item x="50"/>
        <item x="35"/>
        <item x="43"/>
        <item x="51"/>
        <item x="62"/>
        <item x="52"/>
        <item x="19"/>
        <item x="30"/>
        <item x="53"/>
        <item x="59"/>
        <item x="13"/>
        <item x="64"/>
        <item x="38"/>
        <item x="80"/>
        <item x="65"/>
        <item x="74"/>
        <item x="55"/>
        <item x="18"/>
        <item x="63"/>
        <item x="0"/>
        <item x="42"/>
        <item x="69"/>
        <item x="32"/>
        <item x="23"/>
        <item x="75"/>
        <item x="31"/>
        <item x="56"/>
        <item x="12"/>
        <item x="6"/>
        <item t="default"/>
      </items>
    </pivotField>
    <pivotField showAll="0"/>
    <pivotField showAll="0">
      <items count="5">
        <item x="0"/>
        <item x="3"/>
        <item x="2"/>
        <item x="1"/>
        <item t="default"/>
      </items>
    </pivotField>
    <pivotField numFmtId="164" showAll="0"/>
  </pivotFields>
  <rowFields count="1">
    <field x="3"/>
  </rowFields>
  <rowItems count="11">
    <i>
      <x/>
    </i>
    <i>
      <x v="1"/>
    </i>
    <i>
      <x v="2"/>
    </i>
    <i>
      <x v="3"/>
    </i>
    <i>
      <x v="4"/>
    </i>
    <i>
      <x v="5"/>
    </i>
    <i>
      <x v="6"/>
    </i>
    <i>
      <x v="7"/>
    </i>
    <i>
      <x v="8"/>
    </i>
    <i>
      <x v="9"/>
    </i>
    <i t="grand">
      <x/>
    </i>
  </rowItems>
  <colItems count="1">
    <i/>
  </colItems>
  <dataFields count="1">
    <dataField name="Count of Model"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47C6F5A-AC6A-4DEF-AE50-47B79D62D1E7}" sourceName="Year">
  <pivotTables>
    <pivotTable tabId="4" name="avg price by brand"/>
    <pivotTable tabId="4" name="Brand and their avg milage"/>
    <pivotTable tabId="4" name="Brands and their transmission"/>
    <pivotTable tabId="4" name="count car by brand"/>
    <pivotTable tabId="4" name="PivotTable15"/>
    <pivotTable tabId="4" name="service cost by fuel"/>
    <pivotTable tabId="4" name="sum milage by fuel type"/>
    <pivotTable tabId="4" name="total cars by seat"/>
    <pivotTable tabId="4" name="Total of EngineCC"/>
    <pivotTable tabId="4" name="Total sale per transmission"/>
    <pivotTable tabId="4" name="total service cost of brand"/>
  </pivotTables>
  <data>
    <tabular pivotCacheId="794636224">
      <items count="10">
        <i x="4" s="1"/>
        <i x="2" s="1"/>
        <i x="6" s="1"/>
        <i x="8" s="1"/>
        <i x="3" s="1"/>
        <i x="5" s="1"/>
        <i x="9" s="1"/>
        <i x="7"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0E7F157-7925-4609-A648-319A66779EBE}" sourceName="Brand">
  <pivotTables>
    <pivotTable tabId="4" name="sum milage by fuel type"/>
    <pivotTable tabId="4" name="count car by brand"/>
    <pivotTable tabId="4" name="model of car in year"/>
    <pivotTable tabId="4" name="PivotTable15"/>
    <pivotTable tabId="4" name="sale of cars in year"/>
    <pivotTable tabId="4" name="service cost by fuel"/>
    <pivotTable tabId="4" name="total cars by seat"/>
    <pivotTable tabId="4" name="Total of EngineCC"/>
    <pivotTable tabId="4" name="Total sale per transmission"/>
    <pivotTable tabId="4" name="total service cost of brand"/>
  </pivotTables>
  <data>
    <tabular pivotCacheId="794636224">
      <items count="10">
        <i x="3" s="1"/>
        <i x="9" s="1"/>
        <i x="1" s="1"/>
        <i x="6" s="1"/>
        <i x="2" s="1"/>
        <i x="5" s="1"/>
        <i x="8" s="1"/>
        <i x="7"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1C339AB-093B-4218-8F4D-43E0DCCB4FD0}" cache="Slicer_Year" caption="Year" style="SlicerStyleDark5" rowHeight="247650"/>
  <slicer name="Brand" xr10:uid="{D61C546E-A11E-4959-9085-2FAE3EB5E3ED}" cache="Slicer_Brand" caption="Brand"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4936BB-5739-4379-8812-A35C3861B303}" name="Table1" displayName="Table1" ref="A1:K101" totalsRowShown="0">
  <autoFilter ref="A1:K101" xr:uid="{4F4936BB-5739-4379-8812-A35C3861B303}"/>
  <tableColumns count="11">
    <tableColumn id="1" xr3:uid="{51E7A335-D520-4883-8FF8-FE86C1B4EA5D}" name="Car_ID"/>
    <tableColumn id="2" xr3:uid="{38DB8181-FF4E-4296-A1B8-6F1A93F7E8C7}" name="Brand"/>
    <tableColumn id="3" xr3:uid="{C0799594-150D-4E40-8508-8CC73D95A7DF}" name="Model"/>
    <tableColumn id="4" xr3:uid="{6D218052-E604-4334-9830-4A7A428D4D4C}" name="Year"/>
    <tableColumn id="5" xr3:uid="{0B3B9D7B-3499-4AA7-832B-DCC3EE0D8DBC}" name="Fuel_Type"/>
    <tableColumn id="6" xr3:uid="{13DD2DD7-E017-4B6F-8598-A64D2598B91F}" name="Transmission"/>
    <tableColumn id="7" xr3:uid="{EA943108-C1D4-47CF-9D62-302E5C81DB80}" name="Price"/>
    <tableColumn id="8" xr3:uid="{8345C38E-9DE9-41EC-B2D3-729B185DA9C3}" name="Mileage"/>
    <tableColumn id="9" xr3:uid="{0CD9DB07-6C96-4EA6-9A3C-0195003EED83}" name="Engine_CC"/>
    <tableColumn id="10" xr3:uid="{822E4889-75B9-41DC-BBD5-9ECF51CCC8A6}" name="Seating_Capacity"/>
    <tableColumn id="11" xr3:uid="{65FDD6FB-C0A7-4F83-9D33-4CC4C513DAD7}" name="Service_Co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25619-5901-48E0-8AE2-AEEB35971C51}">
  <dimension ref="A1:O101"/>
  <sheetViews>
    <sheetView topLeftCell="B1" workbookViewId="0">
      <selection activeCell="K18" sqref="K18"/>
    </sheetView>
  </sheetViews>
  <sheetFormatPr defaultRowHeight="14.4" x14ac:dyDescent="0.3"/>
  <cols>
    <col min="1" max="1" width="6.33203125" bestFit="1" customWidth="1"/>
    <col min="4" max="4" width="5" bestFit="1" customWidth="1"/>
    <col min="6" max="6" width="11.6640625" bestFit="1" customWidth="1"/>
    <col min="9" max="9" width="9.5546875" bestFit="1" customWidth="1"/>
    <col min="10" max="10" width="14.77734375" bestFit="1" customWidth="1"/>
    <col min="11" max="11" width="12.44140625" bestFit="1" customWidth="1"/>
  </cols>
  <sheetData>
    <row r="1" spans="1:15" ht="23.4" x14ac:dyDescent="0.3">
      <c r="A1" t="s">
        <v>0</v>
      </c>
      <c r="B1" t="s">
        <v>1</v>
      </c>
      <c r="C1" t="s">
        <v>2</v>
      </c>
      <c r="D1" t="s">
        <v>3</v>
      </c>
      <c r="E1" t="s">
        <v>4</v>
      </c>
      <c r="F1" t="s">
        <v>5</v>
      </c>
      <c r="G1" t="s">
        <v>6</v>
      </c>
      <c r="H1" t="s">
        <v>7</v>
      </c>
      <c r="I1" t="s">
        <v>8</v>
      </c>
      <c r="J1" t="s">
        <v>9</v>
      </c>
      <c r="K1" t="s">
        <v>10</v>
      </c>
      <c r="O1" s="2"/>
    </row>
    <row r="2" spans="1:15" x14ac:dyDescent="0.3">
      <c r="A2">
        <v>1</v>
      </c>
      <c r="B2" t="s">
        <v>11</v>
      </c>
      <c r="C2" t="s">
        <v>12</v>
      </c>
      <c r="D2">
        <v>2024</v>
      </c>
      <c r="E2" t="s">
        <v>13</v>
      </c>
      <c r="F2" t="s">
        <v>14</v>
      </c>
      <c r="G2">
        <v>2020000</v>
      </c>
      <c r="H2">
        <v>27.3</v>
      </c>
      <c r="I2">
        <v>800</v>
      </c>
      <c r="J2">
        <v>4</v>
      </c>
      <c r="K2">
        <v>24100</v>
      </c>
    </row>
    <row r="3" spans="1:15" x14ac:dyDescent="0.3">
      <c r="A3">
        <v>2</v>
      </c>
      <c r="B3" t="s">
        <v>15</v>
      </c>
      <c r="C3" t="s">
        <v>16</v>
      </c>
      <c r="D3">
        <v>2023</v>
      </c>
      <c r="E3" t="s">
        <v>17</v>
      </c>
      <c r="F3" t="s">
        <v>14</v>
      </c>
      <c r="G3">
        <v>1770000</v>
      </c>
      <c r="H3">
        <v>16.399999999999999</v>
      </c>
      <c r="I3">
        <v>2500</v>
      </c>
      <c r="J3">
        <v>7</v>
      </c>
      <c r="K3">
        <v>18800</v>
      </c>
      <c r="O3" s="4"/>
    </row>
    <row r="4" spans="1:15" x14ac:dyDescent="0.3">
      <c r="A4">
        <v>3</v>
      </c>
      <c r="B4" t="s">
        <v>18</v>
      </c>
      <c r="C4" t="s">
        <v>19</v>
      </c>
      <c r="D4">
        <v>2016</v>
      </c>
      <c r="E4" t="s">
        <v>20</v>
      </c>
      <c r="F4" t="s">
        <v>14</v>
      </c>
      <c r="G4">
        <v>3430000</v>
      </c>
      <c r="H4">
        <v>17.600000000000001</v>
      </c>
      <c r="I4">
        <v>2000</v>
      </c>
      <c r="J4">
        <v>6</v>
      </c>
      <c r="K4">
        <v>24700</v>
      </c>
    </row>
    <row r="5" spans="1:15" x14ac:dyDescent="0.3">
      <c r="A5">
        <v>4</v>
      </c>
      <c r="B5" t="s">
        <v>21</v>
      </c>
      <c r="C5" t="s">
        <v>22</v>
      </c>
      <c r="D5">
        <v>2019</v>
      </c>
      <c r="E5" t="s">
        <v>20</v>
      </c>
      <c r="F5" t="s">
        <v>14</v>
      </c>
      <c r="G5">
        <v>1610000</v>
      </c>
      <c r="H5">
        <v>19.2</v>
      </c>
      <c r="I5">
        <v>2500</v>
      </c>
      <c r="J5">
        <v>6</v>
      </c>
      <c r="K5">
        <v>23300</v>
      </c>
      <c r="O5" s="4"/>
    </row>
    <row r="6" spans="1:15" x14ac:dyDescent="0.3">
      <c r="A6">
        <v>5</v>
      </c>
      <c r="B6" t="s">
        <v>21</v>
      </c>
      <c r="C6" t="s">
        <v>23</v>
      </c>
      <c r="D6">
        <v>2015</v>
      </c>
      <c r="E6" t="s">
        <v>24</v>
      </c>
      <c r="F6" t="s">
        <v>14</v>
      </c>
      <c r="G6">
        <v>1840000</v>
      </c>
      <c r="H6">
        <v>15.8</v>
      </c>
      <c r="I6">
        <v>1000</v>
      </c>
      <c r="J6">
        <v>5</v>
      </c>
      <c r="K6">
        <v>5800</v>
      </c>
    </row>
    <row r="7" spans="1:15" x14ac:dyDescent="0.3">
      <c r="A7">
        <v>6</v>
      </c>
      <c r="B7" t="s">
        <v>15</v>
      </c>
      <c r="C7" t="s">
        <v>25</v>
      </c>
      <c r="D7">
        <v>2020</v>
      </c>
      <c r="E7" t="s">
        <v>20</v>
      </c>
      <c r="F7" t="s">
        <v>14</v>
      </c>
      <c r="G7">
        <v>2780000</v>
      </c>
      <c r="H7">
        <v>21.5</v>
      </c>
      <c r="I7">
        <v>1800</v>
      </c>
      <c r="J7">
        <v>7</v>
      </c>
      <c r="K7">
        <v>23700</v>
      </c>
      <c r="O7" s="4"/>
    </row>
    <row r="8" spans="1:15" x14ac:dyDescent="0.3">
      <c r="A8">
        <v>7</v>
      </c>
      <c r="B8" t="s">
        <v>11</v>
      </c>
      <c r="C8" t="s">
        <v>26</v>
      </c>
      <c r="D8">
        <v>2019</v>
      </c>
      <c r="E8" t="s">
        <v>13</v>
      </c>
      <c r="F8" t="s">
        <v>14</v>
      </c>
      <c r="G8">
        <v>2270000</v>
      </c>
      <c r="H8">
        <v>29.7</v>
      </c>
      <c r="I8">
        <v>1500</v>
      </c>
      <c r="J8">
        <v>7</v>
      </c>
      <c r="K8">
        <v>13300</v>
      </c>
    </row>
    <row r="9" spans="1:15" x14ac:dyDescent="0.3">
      <c r="A9">
        <v>8</v>
      </c>
      <c r="B9" t="s">
        <v>27</v>
      </c>
      <c r="C9" t="s">
        <v>28</v>
      </c>
      <c r="D9">
        <v>2017</v>
      </c>
      <c r="E9" t="s">
        <v>13</v>
      </c>
      <c r="F9" t="s">
        <v>14</v>
      </c>
      <c r="G9">
        <v>2770000</v>
      </c>
      <c r="H9">
        <v>20.2</v>
      </c>
      <c r="I9">
        <v>1800</v>
      </c>
      <c r="J9">
        <v>4</v>
      </c>
      <c r="K9">
        <v>10200</v>
      </c>
      <c r="O9" s="4"/>
    </row>
    <row r="10" spans="1:15" x14ac:dyDescent="0.3">
      <c r="A10">
        <v>9</v>
      </c>
      <c r="B10" t="s">
        <v>29</v>
      </c>
      <c r="C10" t="s">
        <v>30</v>
      </c>
      <c r="D10">
        <v>2015</v>
      </c>
      <c r="E10" t="s">
        <v>20</v>
      </c>
      <c r="F10" t="s">
        <v>14</v>
      </c>
      <c r="G10">
        <v>2180000</v>
      </c>
      <c r="H10">
        <v>10.5</v>
      </c>
      <c r="I10">
        <v>1800</v>
      </c>
      <c r="J10">
        <v>5</v>
      </c>
      <c r="K10">
        <v>18900</v>
      </c>
    </row>
    <row r="11" spans="1:15" x14ac:dyDescent="0.3">
      <c r="A11">
        <v>10</v>
      </c>
      <c r="B11" t="s">
        <v>15</v>
      </c>
      <c r="C11" t="s">
        <v>16</v>
      </c>
      <c r="D11">
        <v>2019</v>
      </c>
      <c r="E11" t="s">
        <v>13</v>
      </c>
      <c r="F11" t="s">
        <v>31</v>
      </c>
      <c r="G11">
        <v>990000</v>
      </c>
      <c r="H11">
        <v>16.100000000000001</v>
      </c>
      <c r="I11">
        <v>1800</v>
      </c>
      <c r="J11">
        <v>6</v>
      </c>
      <c r="K11">
        <v>15400</v>
      </c>
      <c r="O11" s="4"/>
    </row>
    <row r="12" spans="1:15" x14ac:dyDescent="0.3">
      <c r="A12">
        <v>11</v>
      </c>
      <c r="B12" t="s">
        <v>21</v>
      </c>
      <c r="C12" t="s">
        <v>32</v>
      </c>
      <c r="D12">
        <v>2022</v>
      </c>
      <c r="E12" t="s">
        <v>13</v>
      </c>
      <c r="F12" t="s">
        <v>31</v>
      </c>
      <c r="G12">
        <v>3010000</v>
      </c>
      <c r="H12">
        <v>17.2</v>
      </c>
      <c r="I12">
        <v>1500</v>
      </c>
      <c r="J12">
        <v>4</v>
      </c>
      <c r="K12">
        <v>8500</v>
      </c>
    </row>
    <row r="13" spans="1:15" x14ac:dyDescent="0.3">
      <c r="A13">
        <v>12</v>
      </c>
      <c r="B13" t="s">
        <v>21</v>
      </c>
      <c r="C13" t="s">
        <v>33</v>
      </c>
      <c r="D13">
        <v>2018</v>
      </c>
      <c r="E13" t="s">
        <v>20</v>
      </c>
      <c r="F13" t="s">
        <v>14</v>
      </c>
      <c r="G13">
        <v>2000000</v>
      </c>
      <c r="H13">
        <v>10.8</v>
      </c>
      <c r="I13">
        <v>2000</v>
      </c>
      <c r="J13">
        <v>6</v>
      </c>
      <c r="K13">
        <v>7800</v>
      </c>
      <c r="O13" s="4"/>
    </row>
    <row r="14" spans="1:15" x14ac:dyDescent="0.3">
      <c r="A14">
        <v>13</v>
      </c>
      <c r="B14" t="s">
        <v>29</v>
      </c>
      <c r="C14" t="s">
        <v>34</v>
      </c>
      <c r="D14">
        <v>2022</v>
      </c>
      <c r="E14" t="s">
        <v>20</v>
      </c>
      <c r="F14" t="s">
        <v>31</v>
      </c>
      <c r="G14">
        <v>820000</v>
      </c>
      <c r="H14">
        <v>29.6</v>
      </c>
      <c r="I14">
        <v>1000</v>
      </c>
      <c r="J14">
        <v>5</v>
      </c>
      <c r="K14">
        <v>19100</v>
      </c>
    </row>
    <row r="15" spans="1:15" x14ac:dyDescent="0.3">
      <c r="A15">
        <v>14</v>
      </c>
      <c r="B15" t="s">
        <v>21</v>
      </c>
      <c r="C15" t="s">
        <v>32</v>
      </c>
      <c r="D15">
        <v>2022</v>
      </c>
      <c r="E15" t="s">
        <v>13</v>
      </c>
      <c r="F15" t="s">
        <v>14</v>
      </c>
      <c r="G15">
        <v>3020000</v>
      </c>
      <c r="H15">
        <v>25.3</v>
      </c>
      <c r="I15">
        <v>2500</v>
      </c>
      <c r="J15">
        <v>7</v>
      </c>
      <c r="K15">
        <v>7300</v>
      </c>
      <c r="O15" s="4"/>
    </row>
    <row r="16" spans="1:15" x14ac:dyDescent="0.3">
      <c r="A16">
        <v>15</v>
      </c>
      <c r="B16" t="s">
        <v>35</v>
      </c>
      <c r="C16" t="s">
        <v>36</v>
      </c>
      <c r="D16">
        <v>2017</v>
      </c>
      <c r="E16" t="s">
        <v>17</v>
      </c>
      <c r="F16" t="s">
        <v>14</v>
      </c>
      <c r="G16">
        <v>1280000</v>
      </c>
      <c r="H16">
        <v>11.1</v>
      </c>
      <c r="I16">
        <v>2500</v>
      </c>
      <c r="J16">
        <v>6</v>
      </c>
      <c r="K16">
        <v>23300</v>
      </c>
    </row>
    <row r="17" spans="1:15" x14ac:dyDescent="0.3">
      <c r="A17">
        <v>16</v>
      </c>
      <c r="B17" t="s">
        <v>37</v>
      </c>
      <c r="C17" t="s">
        <v>38</v>
      </c>
      <c r="D17">
        <v>2016</v>
      </c>
      <c r="E17" t="s">
        <v>17</v>
      </c>
      <c r="F17" t="s">
        <v>31</v>
      </c>
      <c r="G17">
        <v>490000</v>
      </c>
      <c r="H17">
        <v>19.2</v>
      </c>
      <c r="I17">
        <v>2500</v>
      </c>
      <c r="J17">
        <v>5</v>
      </c>
      <c r="K17">
        <v>7300</v>
      </c>
      <c r="O17" s="4"/>
    </row>
    <row r="18" spans="1:15" x14ac:dyDescent="0.3">
      <c r="A18">
        <v>17</v>
      </c>
      <c r="B18" t="s">
        <v>11</v>
      </c>
      <c r="C18" t="s">
        <v>39</v>
      </c>
      <c r="D18">
        <v>2016</v>
      </c>
      <c r="E18" t="s">
        <v>13</v>
      </c>
      <c r="F18" t="s">
        <v>31</v>
      </c>
      <c r="G18">
        <v>540000</v>
      </c>
      <c r="H18">
        <v>14.9</v>
      </c>
      <c r="I18">
        <v>1000</v>
      </c>
      <c r="J18">
        <v>4</v>
      </c>
      <c r="K18">
        <v>9500</v>
      </c>
      <c r="O18" s="3"/>
    </row>
    <row r="19" spans="1:15" x14ac:dyDescent="0.3">
      <c r="A19">
        <v>18</v>
      </c>
      <c r="B19" t="s">
        <v>40</v>
      </c>
      <c r="C19" t="s">
        <v>41</v>
      </c>
      <c r="D19">
        <v>2023</v>
      </c>
      <c r="E19" t="s">
        <v>20</v>
      </c>
      <c r="F19" t="s">
        <v>31</v>
      </c>
      <c r="G19">
        <v>3360000</v>
      </c>
      <c r="H19">
        <v>21.8</v>
      </c>
      <c r="I19">
        <v>1200</v>
      </c>
      <c r="J19">
        <v>7</v>
      </c>
      <c r="K19">
        <v>21100</v>
      </c>
      <c r="O19" s="5"/>
    </row>
    <row r="20" spans="1:15" ht="13.8" customHeight="1" x14ac:dyDescent="0.3">
      <c r="A20">
        <v>19</v>
      </c>
      <c r="B20" t="s">
        <v>37</v>
      </c>
      <c r="C20" t="s">
        <v>42</v>
      </c>
      <c r="D20">
        <v>2015</v>
      </c>
      <c r="E20" t="s">
        <v>13</v>
      </c>
      <c r="F20" t="s">
        <v>14</v>
      </c>
      <c r="G20">
        <v>910000</v>
      </c>
      <c r="H20">
        <v>13.5</v>
      </c>
      <c r="I20">
        <v>1200</v>
      </c>
      <c r="J20">
        <v>6</v>
      </c>
      <c r="K20">
        <v>15400</v>
      </c>
      <c r="O20" s="2"/>
    </row>
    <row r="21" spans="1:15" x14ac:dyDescent="0.3">
      <c r="A21">
        <v>20</v>
      </c>
      <c r="B21" t="s">
        <v>40</v>
      </c>
      <c r="C21" t="s">
        <v>43</v>
      </c>
      <c r="D21">
        <v>2017</v>
      </c>
      <c r="E21" t="s">
        <v>13</v>
      </c>
      <c r="F21" t="s">
        <v>14</v>
      </c>
      <c r="G21">
        <v>1780000</v>
      </c>
      <c r="H21">
        <v>26.9</v>
      </c>
      <c r="I21">
        <v>1200</v>
      </c>
      <c r="J21">
        <v>7</v>
      </c>
      <c r="K21">
        <v>24800</v>
      </c>
    </row>
    <row r="22" spans="1:15" x14ac:dyDescent="0.3">
      <c r="A22">
        <v>21</v>
      </c>
      <c r="B22" t="s">
        <v>21</v>
      </c>
      <c r="C22" t="s">
        <v>32</v>
      </c>
      <c r="D22">
        <v>2024</v>
      </c>
      <c r="E22" t="s">
        <v>17</v>
      </c>
      <c r="F22" t="s">
        <v>14</v>
      </c>
      <c r="G22">
        <v>1430000</v>
      </c>
      <c r="H22">
        <v>24.8</v>
      </c>
      <c r="I22">
        <v>1500</v>
      </c>
      <c r="J22">
        <v>4</v>
      </c>
      <c r="K22">
        <v>5600</v>
      </c>
      <c r="O22" s="3"/>
    </row>
    <row r="23" spans="1:15" x14ac:dyDescent="0.3">
      <c r="A23">
        <v>22</v>
      </c>
      <c r="B23" t="s">
        <v>11</v>
      </c>
      <c r="C23" t="s">
        <v>39</v>
      </c>
      <c r="D23">
        <v>2022</v>
      </c>
      <c r="E23" t="s">
        <v>17</v>
      </c>
      <c r="F23" t="s">
        <v>14</v>
      </c>
      <c r="G23">
        <v>2160000</v>
      </c>
      <c r="H23">
        <v>29.7</v>
      </c>
      <c r="I23">
        <v>2000</v>
      </c>
      <c r="J23">
        <v>5</v>
      </c>
      <c r="K23">
        <v>22600</v>
      </c>
      <c r="O23" s="3"/>
    </row>
    <row r="24" spans="1:15" x14ac:dyDescent="0.3">
      <c r="A24">
        <v>23</v>
      </c>
      <c r="B24" t="s">
        <v>11</v>
      </c>
      <c r="C24" t="s">
        <v>44</v>
      </c>
      <c r="D24">
        <v>2023</v>
      </c>
      <c r="E24" t="s">
        <v>24</v>
      </c>
      <c r="F24" t="s">
        <v>31</v>
      </c>
      <c r="G24">
        <v>2890000</v>
      </c>
      <c r="H24">
        <v>12.2</v>
      </c>
      <c r="I24">
        <v>1200</v>
      </c>
      <c r="J24">
        <v>5</v>
      </c>
      <c r="K24">
        <v>23500</v>
      </c>
      <c r="O24" s="3"/>
    </row>
    <row r="25" spans="1:15" x14ac:dyDescent="0.3">
      <c r="A25">
        <v>24</v>
      </c>
      <c r="B25" t="s">
        <v>35</v>
      </c>
      <c r="C25" t="s">
        <v>45</v>
      </c>
      <c r="D25">
        <v>2016</v>
      </c>
      <c r="E25" t="s">
        <v>24</v>
      </c>
      <c r="F25" t="s">
        <v>31</v>
      </c>
      <c r="G25">
        <v>1470000</v>
      </c>
      <c r="H25">
        <v>21.3</v>
      </c>
      <c r="I25">
        <v>1500</v>
      </c>
      <c r="J25">
        <v>5</v>
      </c>
      <c r="K25">
        <v>8800</v>
      </c>
      <c r="O25" s="3"/>
    </row>
    <row r="26" spans="1:15" x14ac:dyDescent="0.3">
      <c r="A26">
        <v>25</v>
      </c>
      <c r="B26" t="s">
        <v>11</v>
      </c>
      <c r="C26" t="s">
        <v>26</v>
      </c>
      <c r="D26">
        <v>2020</v>
      </c>
      <c r="E26" t="s">
        <v>24</v>
      </c>
      <c r="F26" t="s">
        <v>31</v>
      </c>
      <c r="G26">
        <v>2520000</v>
      </c>
      <c r="H26">
        <v>16.5</v>
      </c>
      <c r="I26">
        <v>2000</v>
      </c>
      <c r="J26">
        <v>7</v>
      </c>
      <c r="K26">
        <v>5600</v>
      </c>
      <c r="O26" s="3"/>
    </row>
    <row r="27" spans="1:15" x14ac:dyDescent="0.3">
      <c r="A27">
        <v>26</v>
      </c>
      <c r="B27" t="s">
        <v>37</v>
      </c>
      <c r="C27" t="s">
        <v>38</v>
      </c>
      <c r="D27">
        <v>2024</v>
      </c>
      <c r="E27" t="s">
        <v>20</v>
      </c>
      <c r="F27" t="s">
        <v>14</v>
      </c>
      <c r="G27">
        <v>2650000</v>
      </c>
      <c r="H27">
        <v>29.2</v>
      </c>
      <c r="I27">
        <v>1200</v>
      </c>
      <c r="J27">
        <v>7</v>
      </c>
      <c r="K27">
        <v>8200</v>
      </c>
      <c r="O27" s="3"/>
    </row>
    <row r="28" spans="1:15" x14ac:dyDescent="0.3">
      <c r="A28">
        <v>27</v>
      </c>
      <c r="B28" t="s">
        <v>18</v>
      </c>
      <c r="C28" t="s">
        <v>46</v>
      </c>
      <c r="D28">
        <v>2015</v>
      </c>
      <c r="E28" t="s">
        <v>24</v>
      </c>
      <c r="F28" t="s">
        <v>31</v>
      </c>
      <c r="G28">
        <v>940000</v>
      </c>
      <c r="H28">
        <v>15.6</v>
      </c>
      <c r="I28">
        <v>1000</v>
      </c>
      <c r="J28">
        <v>4</v>
      </c>
      <c r="K28">
        <v>24300</v>
      </c>
      <c r="O28" s="3"/>
    </row>
    <row r="29" spans="1:15" x14ac:dyDescent="0.3">
      <c r="A29">
        <v>28</v>
      </c>
      <c r="B29" t="s">
        <v>35</v>
      </c>
      <c r="C29" t="s">
        <v>45</v>
      </c>
      <c r="D29">
        <v>2019</v>
      </c>
      <c r="E29" t="s">
        <v>24</v>
      </c>
      <c r="F29" t="s">
        <v>14</v>
      </c>
      <c r="G29">
        <v>2770000</v>
      </c>
      <c r="H29">
        <v>13.8</v>
      </c>
      <c r="I29">
        <v>2500</v>
      </c>
      <c r="J29">
        <v>6</v>
      </c>
      <c r="K29">
        <v>11400</v>
      </c>
      <c r="O29" s="3"/>
    </row>
    <row r="30" spans="1:15" x14ac:dyDescent="0.3">
      <c r="A30">
        <v>29</v>
      </c>
      <c r="B30" t="s">
        <v>37</v>
      </c>
      <c r="C30" t="s">
        <v>47</v>
      </c>
      <c r="D30">
        <v>2018</v>
      </c>
      <c r="E30" t="s">
        <v>24</v>
      </c>
      <c r="F30" t="s">
        <v>14</v>
      </c>
      <c r="G30">
        <v>2820000</v>
      </c>
      <c r="H30">
        <v>21.4</v>
      </c>
      <c r="I30">
        <v>2500</v>
      </c>
      <c r="J30">
        <v>5</v>
      </c>
      <c r="K30">
        <v>15500</v>
      </c>
      <c r="O30" s="3"/>
    </row>
    <row r="31" spans="1:15" x14ac:dyDescent="0.3">
      <c r="A31">
        <v>30</v>
      </c>
      <c r="B31" t="s">
        <v>29</v>
      </c>
      <c r="C31" t="s">
        <v>34</v>
      </c>
      <c r="D31">
        <v>2022</v>
      </c>
      <c r="E31" t="s">
        <v>24</v>
      </c>
      <c r="F31" t="s">
        <v>31</v>
      </c>
      <c r="G31">
        <v>1200000</v>
      </c>
      <c r="H31">
        <v>22.5</v>
      </c>
      <c r="I31">
        <v>1200</v>
      </c>
      <c r="J31">
        <v>4</v>
      </c>
      <c r="K31">
        <v>15100</v>
      </c>
      <c r="O31" s="3"/>
    </row>
    <row r="32" spans="1:15" x14ac:dyDescent="0.3">
      <c r="A32">
        <v>31</v>
      </c>
      <c r="B32" t="s">
        <v>37</v>
      </c>
      <c r="C32" t="s">
        <v>48</v>
      </c>
      <c r="D32">
        <v>2023</v>
      </c>
      <c r="E32" t="s">
        <v>17</v>
      </c>
      <c r="F32" t="s">
        <v>14</v>
      </c>
      <c r="G32">
        <v>1530000</v>
      </c>
      <c r="H32">
        <v>13.9</v>
      </c>
      <c r="I32">
        <v>2500</v>
      </c>
      <c r="J32">
        <v>6</v>
      </c>
      <c r="K32">
        <v>13200</v>
      </c>
      <c r="O32" s="3"/>
    </row>
    <row r="33" spans="1:15" x14ac:dyDescent="0.3">
      <c r="A33">
        <v>32</v>
      </c>
      <c r="B33" t="s">
        <v>15</v>
      </c>
      <c r="C33" t="s">
        <v>49</v>
      </c>
      <c r="D33">
        <v>2022</v>
      </c>
      <c r="E33" t="s">
        <v>17</v>
      </c>
      <c r="F33" t="s">
        <v>31</v>
      </c>
      <c r="G33">
        <v>950000</v>
      </c>
      <c r="H33">
        <v>10.1</v>
      </c>
      <c r="I33">
        <v>1500</v>
      </c>
      <c r="J33">
        <v>5</v>
      </c>
      <c r="K33">
        <v>14800</v>
      </c>
      <c r="O33" s="3"/>
    </row>
    <row r="34" spans="1:15" x14ac:dyDescent="0.3">
      <c r="A34">
        <v>33</v>
      </c>
      <c r="B34" t="s">
        <v>11</v>
      </c>
      <c r="C34" t="s">
        <v>12</v>
      </c>
      <c r="D34">
        <v>2018</v>
      </c>
      <c r="E34" t="s">
        <v>13</v>
      </c>
      <c r="F34" t="s">
        <v>14</v>
      </c>
      <c r="G34">
        <v>1010000</v>
      </c>
      <c r="H34">
        <v>25</v>
      </c>
      <c r="I34">
        <v>800</v>
      </c>
      <c r="J34">
        <v>6</v>
      </c>
      <c r="K34">
        <v>12400</v>
      </c>
      <c r="O34" s="3"/>
    </row>
    <row r="35" spans="1:15" x14ac:dyDescent="0.3">
      <c r="A35">
        <v>34</v>
      </c>
      <c r="B35" t="s">
        <v>21</v>
      </c>
      <c r="C35" t="s">
        <v>22</v>
      </c>
      <c r="D35">
        <v>2021</v>
      </c>
      <c r="E35" t="s">
        <v>13</v>
      </c>
      <c r="F35" t="s">
        <v>31</v>
      </c>
      <c r="G35">
        <v>2370000</v>
      </c>
      <c r="H35">
        <v>29.4</v>
      </c>
      <c r="I35">
        <v>2500</v>
      </c>
      <c r="J35">
        <v>6</v>
      </c>
      <c r="K35">
        <v>17000</v>
      </c>
      <c r="O35" s="3"/>
    </row>
    <row r="36" spans="1:15" x14ac:dyDescent="0.3">
      <c r="A36">
        <v>35</v>
      </c>
      <c r="B36" t="s">
        <v>27</v>
      </c>
      <c r="C36" t="s">
        <v>50</v>
      </c>
      <c r="D36">
        <v>2016</v>
      </c>
      <c r="E36" t="s">
        <v>13</v>
      </c>
      <c r="F36" t="s">
        <v>31</v>
      </c>
      <c r="G36">
        <v>2590000</v>
      </c>
      <c r="H36">
        <v>28.8</v>
      </c>
      <c r="I36">
        <v>1500</v>
      </c>
      <c r="J36">
        <v>7</v>
      </c>
      <c r="K36">
        <v>12400</v>
      </c>
      <c r="O36" s="3"/>
    </row>
    <row r="37" spans="1:15" x14ac:dyDescent="0.3">
      <c r="A37">
        <v>36</v>
      </c>
      <c r="B37" t="s">
        <v>18</v>
      </c>
      <c r="C37" t="s">
        <v>51</v>
      </c>
      <c r="D37">
        <v>2019</v>
      </c>
      <c r="E37" t="s">
        <v>17</v>
      </c>
      <c r="F37" t="s">
        <v>14</v>
      </c>
      <c r="G37">
        <v>1920000</v>
      </c>
      <c r="H37">
        <v>11.9</v>
      </c>
      <c r="I37">
        <v>1500</v>
      </c>
      <c r="J37">
        <v>7</v>
      </c>
      <c r="K37">
        <v>16600</v>
      </c>
      <c r="O37" s="3"/>
    </row>
    <row r="38" spans="1:15" x14ac:dyDescent="0.3">
      <c r="A38">
        <v>37</v>
      </c>
      <c r="B38" t="s">
        <v>15</v>
      </c>
      <c r="C38" t="s">
        <v>16</v>
      </c>
      <c r="D38">
        <v>2020</v>
      </c>
      <c r="E38" t="s">
        <v>13</v>
      </c>
      <c r="F38" t="s">
        <v>31</v>
      </c>
      <c r="G38">
        <v>1990000</v>
      </c>
      <c r="H38">
        <v>16</v>
      </c>
      <c r="I38">
        <v>1000</v>
      </c>
      <c r="J38">
        <v>7</v>
      </c>
      <c r="K38">
        <v>5100</v>
      </c>
      <c r="O38" s="3"/>
    </row>
    <row r="39" spans="1:15" x14ac:dyDescent="0.3">
      <c r="A39">
        <v>38</v>
      </c>
      <c r="B39" t="s">
        <v>52</v>
      </c>
      <c r="C39" t="s">
        <v>53</v>
      </c>
      <c r="D39">
        <v>2019</v>
      </c>
      <c r="E39" t="s">
        <v>17</v>
      </c>
      <c r="F39" t="s">
        <v>31</v>
      </c>
      <c r="G39">
        <v>1730000</v>
      </c>
      <c r="H39">
        <v>23</v>
      </c>
      <c r="I39">
        <v>1800</v>
      </c>
      <c r="J39">
        <v>7</v>
      </c>
      <c r="K39">
        <v>19300</v>
      </c>
      <c r="O39" s="3"/>
    </row>
    <row r="40" spans="1:15" x14ac:dyDescent="0.3">
      <c r="A40">
        <v>39</v>
      </c>
      <c r="B40" t="s">
        <v>40</v>
      </c>
      <c r="C40" t="s">
        <v>54</v>
      </c>
      <c r="D40">
        <v>2017</v>
      </c>
      <c r="E40" t="s">
        <v>17</v>
      </c>
      <c r="F40" t="s">
        <v>31</v>
      </c>
      <c r="G40">
        <v>3290000</v>
      </c>
      <c r="H40">
        <v>10.7</v>
      </c>
      <c r="I40">
        <v>1800</v>
      </c>
      <c r="J40">
        <v>6</v>
      </c>
      <c r="K40">
        <v>6800</v>
      </c>
      <c r="O40" s="3"/>
    </row>
    <row r="41" spans="1:15" x14ac:dyDescent="0.3">
      <c r="A41">
        <v>40</v>
      </c>
      <c r="B41" t="s">
        <v>11</v>
      </c>
      <c r="C41" t="s">
        <v>26</v>
      </c>
      <c r="D41">
        <v>2015</v>
      </c>
      <c r="E41" t="s">
        <v>17</v>
      </c>
      <c r="F41" t="s">
        <v>31</v>
      </c>
      <c r="G41">
        <v>520000</v>
      </c>
      <c r="H41">
        <v>14.5</v>
      </c>
      <c r="I41">
        <v>1800</v>
      </c>
      <c r="J41">
        <v>6</v>
      </c>
      <c r="K41">
        <v>8300</v>
      </c>
      <c r="O41" s="3"/>
    </row>
    <row r="42" spans="1:15" x14ac:dyDescent="0.3">
      <c r="A42">
        <v>41</v>
      </c>
      <c r="B42" t="s">
        <v>37</v>
      </c>
      <c r="C42" t="s">
        <v>48</v>
      </c>
      <c r="D42">
        <v>2021</v>
      </c>
      <c r="E42" t="s">
        <v>17</v>
      </c>
      <c r="F42" t="s">
        <v>14</v>
      </c>
      <c r="G42">
        <v>1260000</v>
      </c>
      <c r="H42">
        <v>25.9</v>
      </c>
      <c r="I42">
        <v>1500</v>
      </c>
      <c r="J42">
        <v>4</v>
      </c>
      <c r="K42">
        <v>24400</v>
      </c>
    </row>
    <row r="43" spans="1:15" x14ac:dyDescent="0.3">
      <c r="A43">
        <v>42</v>
      </c>
      <c r="B43" t="s">
        <v>37</v>
      </c>
      <c r="C43" t="s">
        <v>48</v>
      </c>
      <c r="D43">
        <v>2024</v>
      </c>
      <c r="E43" t="s">
        <v>17</v>
      </c>
      <c r="F43" t="s">
        <v>31</v>
      </c>
      <c r="G43">
        <v>500000</v>
      </c>
      <c r="H43">
        <v>16.8</v>
      </c>
      <c r="I43">
        <v>2000</v>
      </c>
      <c r="J43">
        <v>4</v>
      </c>
      <c r="K43">
        <v>14000</v>
      </c>
    </row>
    <row r="44" spans="1:15" x14ac:dyDescent="0.3">
      <c r="A44">
        <v>43</v>
      </c>
      <c r="B44" t="s">
        <v>37</v>
      </c>
      <c r="C44" t="s">
        <v>55</v>
      </c>
      <c r="D44">
        <v>2022</v>
      </c>
      <c r="E44" t="s">
        <v>13</v>
      </c>
      <c r="F44" t="s">
        <v>14</v>
      </c>
      <c r="G44">
        <v>1860000</v>
      </c>
      <c r="H44">
        <v>19.899999999999999</v>
      </c>
      <c r="I44">
        <v>1200</v>
      </c>
      <c r="J44">
        <v>5</v>
      </c>
      <c r="K44">
        <v>14300</v>
      </c>
    </row>
    <row r="45" spans="1:15" x14ac:dyDescent="0.3">
      <c r="A45">
        <v>44</v>
      </c>
      <c r="B45" t="s">
        <v>37</v>
      </c>
      <c r="C45" t="s">
        <v>38</v>
      </c>
      <c r="D45">
        <v>2021</v>
      </c>
      <c r="E45" t="s">
        <v>13</v>
      </c>
      <c r="F45" t="s">
        <v>31</v>
      </c>
      <c r="G45">
        <v>410000</v>
      </c>
      <c r="H45">
        <v>12.9</v>
      </c>
      <c r="I45">
        <v>1500</v>
      </c>
      <c r="J45">
        <v>7</v>
      </c>
      <c r="K45">
        <v>19400</v>
      </c>
    </row>
    <row r="46" spans="1:15" x14ac:dyDescent="0.3">
      <c r="A46">
        <v>45</v>
      </c>
      <c r="B46" t="s">
        <v>35</v>
      </c>
      <c r="C46" t="s">
        <v>36</v>
      </c>
      <c r="D46">
        <v>2022</v>
      </c>
      <c r="E46" t="s">
        <v>13</v>
      </c>
      <c r="F46" t="s">
        <v>31</v>
      </c>
      <c r="G46">
        <v>1290000</v>
      </c>
      <c r="H46">
        <v>25.9</v>
      </c>
      <c r="I46">
        <v>1800</v>
      </c>
      <c r="J46">
        <v>6</v>
      </c>
      <c r="K46">
        <v>16600</v>
      </c>
    </row>
    <row r="47" spans="1:15" x14ac:dyDescent="0.3">
      <c r="A47">
        <v>46</v>
      </c>
      <c r="B47" t="s">
        <v>18</v>
      </c>
      <c r="C47" t="s">
        <v>19</v>
      </c>
      <c r="D47">
        <v>2018</v>
      </c>
      <c r="E47" t="s">
        <v>13</v>
      </c>
      <c r="F47" t="s">
        <v>14</v>
      </c>
      <c r="G47">
        <v>2340000</v>
      </c>
      <c r="H47">
        <v>27.6</v>
      </c>
      <c r="I47">
        <v>1500</v>
      </c>
      <c r="J47">
        <v>7</v>
      </c>
      <c r="K47">
        <v>12200</v>
      </c>
    </row>
    <row r="48" spans="1:15" x14ac:dyDescent="0.3">
      <c r="A48">
        <v>47</v>
      </c>
      <c r="B48" t="s">
        <v>21</v>
      </c>
      <c r="C48" t="s">
        <v>33</v>
      </c>
      <c r="D48">
        <v>2024</v>
      </c>
      <c r="E48" t="s">
        <v>17</v>
      </c>
      <c r="F48" t="s">
        <v>14</v>
      </c>
      <c r="G48">
        <v>550000</v>
      </c>
      <c r="H48">
        <v>23.3</v>
      </c>
      <c r="I48">
        <v>2000</v>
      </c>
      <c r="J48">
        <v>4</v>
      </c>
      <c r="K48">
        <v>14700</v>
      </c>
    </row>
    <row r="49" spans="1:11" x14ac:dyDescent="0.3">
      <c r="A49">
        <v>48</v>
      </c>
      <c r="B49" t="s">
        <v>21</v>
      </c>
      <c r="C49" t="s">
        <v>22</v>
      </c>
      <c r="D49">
        <v>2022</v>
      </c>
      <c r="E49" t="s">
        <v>20</v>
      </c>
      <c r="F49" t="s">
        <v>31</v>
      </c>
      <c r="G49">
        <v>960000</v>
      </c>
      <c r="H49">
        <v>20.7</v>
      </c>
      <c r="I49">
        <v>1000</v>
      </c>
      <c r="J49">
        <v>7</v>
      </c>
      <c r="K49">
        <v>21400</v>
      </c>
    </row>
    <row r="50" spans="1:11" x14ac:dyDescent="0.3">
      <c r="A50">
        <v>49</v>
      </c>
      <c r="B50" t="s">
        <v>27</v>
      </c>
      <c r="C50" t="s">
        <v>56</v>
      </c>
      <c r="D50">
        <v>2021</v>
      </c>
      <c r="E50" t="s">
        <v>17</v>
      </c>
      <c r="F50" t="s">
        <v>14</v>
      </c>
      <c r="G50">
        <v>450000</v>
      </c>
      <c r="H50">
        <v>14</v>
      </c>
      <c r="I50">
        <v>1200</v>
      </c>
      <c r="J50">
        <v>4</v>
      </c>
      <c r="K50">
        <v>8300</v>
      </c>
    </row>
    <row r="51" spans="1:11" x14ac:dyDescent="0.3">
      <c r="A51">
        <v>50</v>
      </c>
      <c r="B51" t="s">
        <v>27</v>
      </c>
      <c r="C51" t="s">
        <v>57</v>
      </c>
      <c r="D51">
        <v>2020</v>
      </c>
      <c r="E51" t="s">
        <v>20</v>
      </c>
      <c r="F51" t="s">
        <v>14</v>
      </c>
      <c r="G51">
        <v>3160000</v>
      </c>
      <c r="H51">
        <v>18.7</v>
      </c>
      <c r="I51">
        <v>1800</v>
      </c>
      <c r="J51">
        <v>6</v>
      </c>
      <c r="K51">
        <v>5500</v>
      </c>
    </row>
    <row r="52" spans="1:11" x14ac:dyDescent="0.3">
      <c r="A52">
        <v>51</v>
      </c>
      <c r="B52" t="s">
        <v>40</v>
      </c>
      <c r="C52" t="s">
        <v>58</v>
      </c>
      <c r="D52">
        <v>2015</v>
      </c>
      <c r="E52" t="s">
        <v>13</v>
      </c>
      <c r="F52" t="s">
        <v>31</v>
      </c>
      <c r="G52">
        <v>2900000</v>
      </c>
      <c r="H52">
        <v>13.5</v>
      </c>
      <c r="I52">
        <v>2500</v>
      </c>
      <c r="J52">
        <v>4</v>
      </c>
      <c r="K52">
        <v>23600</v>
      </c>
    </row>
    <row r="53" spans="1:11" x14ac:dyDescent="0.3">
      <c r="A53">
        <v>52</v>
      </c>
      <c r="B53" t="s">
        <v>15</v>
      </c>
      <c r="C53" t="s">
        <v>59</v>
      </c>
      <c r="D53">
        <v>2023</v>
      </c>
      <c r="E53" t="s">
        <v>24</v>
      </c>
      <c r="F53" t="s">
        <v>14</v>
      </c>
      <c r="G53">
        <v>1410000</v>
      </c>
      <c r="H53">
        <v>12.6</v>
      </c>
      <c r="I53">
        <v>2000</v>
      </c>
      <c r="J53">
        <v>5</v>
      </c>
      <c r="K53">
        <v>6800</v>
      </c>
    </row>
    <row r="54" spans="1:11" x14ac:dyDescent="0.3">
      <c r="A54">
        <v>53</v>
      </c>
      <c r="B54" t="s">
        <v>35</v>
      </c>
      <c r="C54" t="s">
        <v>60</v>
      </c>
      <c r="D54">
        <v>2019</v>
      </c>
      <c r="E54" t="s">
        <v>20</v>
      </c>
      <c r="F54" t="s">
        <v>31</v>
      </c>
      <c r="G54">
        <v>2480000</v>
      </c>
      <c r="H54">
        <v>22</v>
      </c>
      <c r="I54">
        <v>1200</v>
      </c>
      <c r="J54">
        <v>4</v>
      </c>
      <c r="K54">
        <v>23400</v>
      </c>
    </row>
    <row r="55" spans="1:11" x14ac:dyDescent="0.3">
      <c r="A55">
        <v>54</v>
      </c>
      <c r="B55" t="s">
        <v>15</v>
      </c>
      <c r="C55" t="s">
        <v>49</v>
      </c>
      <c r="D55">
        <v>2020</v>
      </c>
      <c r="E55" t="s">
        <v>17</v>
      </c>
      <c r="F55" t="s">
        <v>14</v>
      </c>
      <c r="G55">
        <v>1320000</v>
      </c>
      <c r="H55">
        <v>21</v>
      </c>
      <c r="I55">
        <v>1000</v>
      </c>
      <c r="J55">
        <v>6</v>
      </c>
      <c r="K55">
        <v>9100</v>
      </c>
    </row>
    <row r="56" spans="1:11" x14ac:dyDescent="0.3">
      <c r="A56">
        <v>55</v>
      </c>
      <c r="B56" t="s">
        <v>40</v>
      </c>
      <c r="C56" t="s">
        <v>41</v>
      </c>
      <c r="D56">
        <v>2023</v>
      </c>
      <c r="E56" t="s">
        <v>24</v>
      </c>
      <c r="F56" t="s">
        <v>31</v>
      </c>
      <c r="G56">
        <v>430000</v>
      </c>
      <c r="H56">
        <v>22.9</v>
      </c>
      <c r="I56">
        <v>1500</v>
      </c>
      <c r="J56">
        <v>6</v>
      </c>
      <c r="K56">
        <v>18600</v>
      </c>
    </row>
    <row r="57" spans="1:11" x14ac:dyDescent="0.3">
      <c r="A57">
        <v>56</v>
      </c>
      <c r="B57" t="s">
        <v>11</v>
      </c>
      <c r="C57" t="s">
        <v>12</v>
      </c>
      <c r="D57">
        <v>2023</v>
      </c>
      <c r="E57" t="s">
        <v>24</v>
      </c>
      <c r="F57" t="s">
        <v>14</v>
      </c>
      <c r="G57">
        <v>3410000</v>
      </c>
      <c r="H57">
        <v>24</v>
      </c>
      <c r="I57">
        <v>1500</v>
      </c>
      <c r="J57">
        <v>5</v>
      </c>
      <c r="K57">
        <v>16500</v>
      </c>
    </row>
    <row r="58" spans="1:11" x14ac:dyDescent="0.3">
      <c r="A58">
        <v>57</v>
      </c>
      <c r="B58" t="s">
        <v>11</v>
      </c>
      <c r="C58" t="s">
        <v>12</v>
      </c>
      <c r="D58">
        <v>2018</v>
      </c>
      <c r="E58" t="s">
        <v>24</v>
      </c>
      <c r="F58" t="s">
        <v>14</v>
      </c>
      <c r="G58">
        <v>890000</v>
      </c>
      <c r="H58">
        <v>24.7</v>
      </c>
      <c r="I58">
        <v>1200</v>
      </c>
      <c r="J58">
        <v>7</v>
      </c>
      <c r="K58">
        <v>8400</v>
      </c>
    </row>
    <row r="59" spans="1:11" x14ac:dyDescent="0.3">
      <c r="A59">
        <v>58</v>
      </c>
      <c r="B59" t="s">
        <v>35</v>
      </c>
      <c r="C59" t="s">
        <v>61</v>
      </c>
      <c r="D59">
        <v>2015</v>
      </c>
      <c r="E59" t="s">
        <v>24</v>
      </c>
      <c r="F59" t="s">
        <v>31</v>
      </c>
      <c r="G59">
        <v>1860000</v>
      </c>
      <c r="H59">
        <v>25.1</v>
      </c>
      <c r="I59">
        <v>2000</v>
      </c>
      <c r="J59">
        <v>7</v>
      </c>
      <c r="K59">
        <v>23800</v>
      </c>
    </row>
    <row r="60" spans="1:11" x14ac:dyDescent="0.3">
      <c r="A60">
        <v>59</v>
      </c>
      <c r="B60" t="s">
        <v>40</v>
      </c>
      <c r="C60" t="s">
        <v>54</v>
      </c>
      <c r="D60">
        <v>2016</v>
      </c>
      <c r="E60" t="s">
        <v>17</v>
      </c>
      <c r="F60" t="s">
        <v>31</v>
      </c>
      <c r="G60">
        <v>3070000</v>
      </c>
      <c r="H60">
        <v>11.6</v>
      </c>
      <c r="I60">
        <v>1800</v>
      </c>
      <c r="J60">
        <v>5</v>
      </c>
      <c r="K60">
        <v>23000</v>
      </c>
    </row>
    <row r="61" spans="1:11" x14ac:dyDescent="0.3">
      <c r="A61">
        <v>60</v>
      </c>
      <c r="B61" t="s">
        <v>11</v>
      </c>
      <c r="C61" t="s">
        <v>44</v>
      </c>
      <c r="D61">
        <v>2016</v>
      </c>
      <c r="E61" t="s">
        <v>17</v>
      </c>
      <c r="F61" t="s">
        <v>14</v>
      </c>
      <c r="G61">
        <v>690000</v>
      </c>
      <c r="H61">
        <v>26.5</v>
      </c>
      <c r="I61">
        <v>1200</v>
      </c>
      <c r="J61">
        <v>4</v>
      </c>
      <c r="K61">
        <v>21400</v>
      </c>
    </row>
    <row r="62" spans="1:11" x14ac:dyDescent="0.3">
      <c r="A62">
        <v>61</v>
      </c>
      <c r="B62" t="s">
        <v>52</v>
      </c>
      <c r="C62" t="s">
        <v>62</v>
      </c>
      <c r="D62">
        <v>2024</v>
      </c>
      <c r="E62" t="s">
        <v>20</v>
      </c>
      <c r="F62" t="s">
        <v>31</v>
      </c>
      <c r="G62">
        <v>2830000</v>
      </c>
      <c r="H62">
        <v>17.2</v>
      </c>
      <c r="I62">
        <v>800</v>
      </c>
      <c r="J62">
        <v>5</v>
      </c>
      <c r="K62">
        <v>14500</v>
      </c>
    </row>
    <row r="63" spans="1:11" x14ac:dyDescent="0.3">
      <c r="A63">
        <v>62</v>
      </c>
      <c r="B63" t="s">
        <v>37</v>
      </c>
      <c r="C63" t="s">
        <v>55</v>
      </c>
      <c r="D63">
        <v>2020</v>
      </c>
      <c r="E63" t="s">
        <v>17</v>
      </c>
      <c r="F63" t="s">
        <v>14</v>
      </c>
      <c r="G63">
        <v>3370000</v>
      </c>
      <c r="H63">
        <v>11.1</v>
      </c>
      <c r="I63">
        <v>800</v>
      </c>
      <c r="J63">
        <v>7</v>
      </c>
      <c r="K63">
        <v>11100</v>
      </c>
    </row>
    <row r="64" spans="1:11" x14ac:dyDescent="0.3">
      <c r="A64">
        <v>63</v>
      </c>
      <c r="B64" t="s">
        <v>35</v>
      </c>
      <c r="C64" t="s">
        <v>36</v>
      </c>
      <c r="D64">
        <v>2016</v>
      </c>
      <c r="E64" t="s">
        <v>13</v>
      </c>
      <c r="F64" t="s">
        <v>31</v>
      </c>
      <c r="G64">
        <v>490000</v>
      </c>
      <c r="H64">
        <v>29.5</v>
      </c>
      <c r="I64">
        <v>1500</v>
      </c>
      <c r="J64">
        <v>4</v>
      </c>
      <c r="K64">
        <v>5300</v>
      </c>
    </row>
    <row r="65" spans="1:11" x14ac:dyDescent="0.3">
      <c r="A65">
        <v>64</v>
      </c>
      <c r="B65" t="s">
        <v>15</v>
      </c>
      <c r="C65" t="s">
        <v>49</v>
      </c>
      <c r="D65">
        <v>2022</v>
      </c>
      <c r="E65" t="s">
        <v>24</v>
      </c>
      <c r="F65" t="s">
        <v>14</v>
      </c>
      <c r="G65">
        <v>2970000</v>
      </c>
      <c r="H65">
        <v>12.8</v>
      </c>
      <c r="I65">
        <v>1000</v>
      </c>
      <c r="J65">
        <v>6</v>
      </c>
      <c r="K65">
        <v>13100</v>
      </c>
    </row>
    <row r="66" spans="1:11" x14ac:dyDescent="0.3">
      <c r="A66">
        <v>65</v>
      </c>
      <c r="B66" t="s">
        <v>37</v>
      </c>
      <c r="C66" t="s">
        <v>55</v>
      </c>
      <c r="D66">
        <v>2018</v>
      </c>
      <c r="E66" t="s">
        <v>20</v>
      </c>
      <c r="F66" t="s">
        <v>14</v>
      </c>
      <c r="G66">
        <v>1780000</v>
      </c>
      <c r="H66">
        <v>13</v>
      </c>
      <c r="I66">
        <v>2500</v>
      </c>
      <c r="J66">
        <v>7</v>
      </c>
      <c r="K66">
        <v>17900</v>
      </c>
    </row>
    <row r="67" spans="1:11" x14ac:dyDescent="0.3">
      <c r="A67">
        <v>66</v>
      </c>
      <c r="B67" t="s">
        <v>15</v>
      </c>
      <c r="C67" t="s">
        <v>25</v>
      </c>
      <c r="D67">
        <v>2016</v>
      </c>
      <c r="E67" t="s">
        <v>17</v>
      </c>
      <c r="F67" t="s">
        <v>14</v>
      </c>
      <c r="G67">
        <v>2190000</v>
      </c>
      <c r="H67">
        <v>25.2</v>
      </c>
      <c r="I67">
        <v>1200</v>
      </c>
      <c r="J67">
        <v>5</v>
      </c>
      <c r="K67">
        <v>7100</v>
      </c>
    </row>
    <row r="68" spans="1:11" x14ac:dyDescent="0.3">
      <c r="A68">
        <v>67</v>
      </c>
      <c r="B68" t="s">
        <v>40</v>
      </c>
      <c r="C68" t="s">
        <v>43</v>
      </c>
      <c r="D68">
        <v>2020</v>
      </c>
      <c r="E68" t="s">
        <v>17</v>
      </c>
      <c r="F68" t="s">
        <v>14</v>
      </c>
      <c r="G68">
        <v>2300000</v>
      </c>
      <c r="H68">
        <v>22.6</v>
      </c>
      <c r="I68">
        <v>2500</v>
      </c>
      <c r="J68">
        <v>4</v>
      </c>
      <c r="K68">
        <v>11700</v>
      </c>
    </row>
    <row r="69" spans="1:11" x14ac:dyDescent="0.3">
      <c r="A69">
        <v>68</v>
      </c>
      <c r="B69" t="s">
        <v>15</v>
      </c>
      <c r="C69" t="s">
        <v>25</v>
      </c>
      <c r="D69">
        <v>2020</v>
      </c>
      <c r="E69" t="s">
        <v>17</v>
      </c>
      <c r="F69" t="s">
        <v>31</v>
      </c>
      <c r="G69">
        <v>2650000</v>
      </c>
      <c r="H69">
        <v>11.4</v>
      </c>
      <c r="I69">
        <v>1200</v>
      </c>
      <c r="J69">
        <v>6</v>
      </c>
      <c r="K69">
        <v>24700</v>
      </c>
    </row>
    <row r="70" spans="1:11" x14ac:dyDescent="0.3">
      <c r="A70">
        <v>69</v>
      </c>
      <c r="B70" t="s">
        <v>52</v>
      </c>
      <c r="C70" t="s">
        <v>63</v>
      </c>
      <c r="D70">
        <v>2021</v>
      </c>
      <c r="E70" t="s">
        <v>24</v>
      </c>
      <c r="F70" t="s">
        <v>31</v>
      </c>
      <c r="G70">
        <v>1680000</v>
      </c>
      <c r="H70">
        <v>24.1</v>
      </c>
      <c r="I70">
        <v>2500</v>
      </c>
      <c r="J70">
        <v>6</v>
      </c>
      <c r="K70">
        <v>24000</v>
      </c>
    </row>
    <row r="71" spans="1:11" x14ac:dyDescent="0.3">
      <c r="A71">
        <v>70</v>
      </c>
      <c r="B71" t="s">
        <v>40</v>
      </c>
      <c r="C71" t="s">
        <v>64</v>
      </c>
      <c r="D71">
        <v>2015</v>
      </c>
      <c r="E71" t="s">
        <v>24</v>
      </c>
      <c r="F71" t="s">
        <v>31</v>
      </c>
      <c r="G71">
        <v>1700000</v>
      </c>
      <c r="H71">
        <v>15.8</v>
      </c>
      <c r="I71">
        <v>800</v>
      </c>
      <c r="J71">
        <v>4</v>
      </c>
      <c r="K71">
        <v>23500</v>
      </c>
    </row>
    <row r="72" spans="1:11" x14ac:dyDescent="0.3">
      <c r="A72">
        <v>71</v>
      </c>
      <c r="B72" t="s">
        <v>11</v>
      </c>
      <c r="C72" t="s">
        <v>26</v>
      </c>
      <c r="D72">
        <v>2023</v>
      </c>
      <c r="E72" t="s">
        <v>17</v>
      </c>
      <c r="F72" t="s">
        <v>31</v>
      </c>
      <c r="G72">
        <v>1630000</v>
      </c>
      <c r="H72">
        <v>27.1</v>
      </c>
      <c r="I72">
        <v>800</v>
      </c>
      <c r="J72">
        <v>4</v>
      </c>
      <c r="K72">
        <v>17700</v>
      </c>
    </row>
    <row r="73" spans="1:11" x14ac:dyDescent="0.3">
      <c r="A73">
        <v>72</v>
      </c>
      <c r="B73" t="s">
        <v>52</v>
      </c>
      <c r="C73" t="s">
        <v>65</v>
      </c>
      <c r="D73">
        <v>2020</v>
      </c>
      <c r="E73" t="s">
        <v>24</v>
      </c>
      <c r="F73" t="s">
        <v>14</v>
      </c>
      <c r="G73">
        <v>1720000</v>
      </c>
      <c r="H73">
        <v>23</v>
      </c>
      <c r="I73">
        <v>2500</v>
      </c>
      <c r="J73">
        <v>6</v>
      </c>
      <c r="K73">
        <v>21900</v>
      </c>
    </row>
    <row r="74" spans="1:11" x14ac:dyDescent="0.3">
      <c r="A74">
        <v>73</v>
      </c>
      <c r="B74" t="s">
        <v>21</v>
      </c>
      <c r="C74" t="s">
        <v>66</v>
      </c>
      <c r="D74">
        <v>2021</v>
      </c>
      <c r="E74" t="s">
        <v>24</v>
      </c>
      <c r="F74" t="s">
        <v>31</v>
      </c>
      <c r="G74">
        <v>940000</v>
      </c>
      <c r="H74">
        <v>25.7</v>
      </c>
      <c r="I74">
        <v>1500</v>
      </c>
      <c r="J74">
        <v>4</v>
      </c>
      <c r="K74">
        <v>9900</v>
      </c>
    </row>
    <row r="75" spans="1:11" x14ac:dyDescent="0.3">
      <c r="A75">
        <v>74</v>
      </c>
      <c r="B75" t="s">
        <v>35</v>
      </c>
      <c r="C75" t="s">
        <v>61</v>
      </c>
      <c r="D75">
        <v>2022</v>
      </c>
      <c r="E75" t="s">
        <v>17</v>
      </c>
      <c r="F75" t="s">
        <v>14</v>
      </c>
      <c r="G75">
        <v>3090000</v>
      </c>
      <c r="H75">
        <v>26.2</v>
      </c>
      <c r="I75">
        <v>1500</v>
      </c>
      <c r="J75">
        <v>6</v>
      </c>
      <c r="K75">
        <v>15800</v>
      </c>
    </row>
    <row r="76" spans="1:11" x14ac:dyDescent="0.3">
      <c r="A76">
        <v>75</v>
      </c>
      <c r="B76" t="s">
        <v>11</v>
      </c>
      <c r="C76" t="s">
        <v>26</v>
      </c>
      <c r="D76">
        <v>2016</v>
      </c>
      <c r="E76" t="s">
        <v>17</v>
      </c>
      <c r="F76" t="s">
        <v>14</v>
      </c>
      <c r="G76">
        <v>3260000</v>
      </c>
      <c r="H76">
        <v>10.199999999999999</v>
      </c>
      <c r="I76">
        <v>1000</v>
      </c>
      <c r="J76">
        <v>4</v>
      </c>
      <c r="K76">
        <v>6300</v>
      </c>
    </row>
    <row r="77" spans="1:11" x14ac:dyDescent="0.3">
      <c r="A77">
        <v>76</v>
      </c>
      <c r="B77" t="s">
        <v>35</v>
      </c>
      <c r="C77" t="s">
        <v>67</v>
      </c>
      <c r="D77">
        <v>2022</v>
      </c>
      <c r="E77" t="s">
        <v>20</v>
      </c>
      <c r="F77" t="s">
        <v>31</v>
      </c>
      <c r="G77">
        <v>2150000</v>
      </c>
      <c r="H77">
        <v>13</v>
      </c>
      <c r="I77">
        <v>1800</v>
      </c>
      <c r="J77">
        <v>6</v>
      </c>
      <c r="K77">
        <v>5300</v>
      </c>
    </row>
    <row r="78" spans="1:11" x14ac:dyDescent="0.3">
      <c r="A78">
        <v>77</v>
      </c>
      <c r="B78" t="s">
        <v>37</v>
      </c>
      <c r="C78" t="s">
        <v>38</v>
      </c>
      <c r="D78">
        <v>2019</v>
      </c>
      <c r="E78" t="s">
        <v>20</v>
      </c>
      <c r="F78" t="s">
        <v>14</v>
      </c>
      <c r="G78">
        <v>1720000</v>
      </c>
      <c r="H78">
        <v>17.3</v>
      </c>
      <c r="I78">
        <v>2000</v>
      </c>
      <c r="J78">
        <v>5</v>
      </c>
      <c r="K78">
        <v>6900</v>
      </c>
    </row>
    <row r="79" spans="1:11" x14ac:dyDescent="0.3">
      <c r="A79">
        <v>78</v>
      </c>
      <c r="B79" t="s">
        <v>52</v>
      </c>
      <c r="C79" t="s">
        <v>68</v>
      </c>
      <c r="D79">
        <v>2018</v>
      </c>
      <c r="E79" t="s">
        <v>17</v>
      </c>
      <c r="F79" t="s">
        <v>31</v>
      </c>
      <c r="G79">
        <v>2070000</v>
      </c>
      <c r="H79">
        <v>15.5</v>
      </c>
      <c r="I79">
        <v>2500</v>
      </c>
      <c r="J79">
        <v>5</v>
      </c>
      <c r="K79">
        <v>19700</v>
      </c>
    </row>
    <row r="80" spans="1:11" x14ac:dyDescent="0.3">
      <c r="A80">
        <v>79</v>
      </c>
      <c r="B80" t="s">
        <v>21</v>
      </c>
      <c r="C80" t="s">
        <v>33</v>
      </c>
      <c r="D80">
        <v>2024</v>
      </c>
      <c r="E80" t="s">
        <v>17</v>
      </c>
      <c r="F80" t="s">
        <v>31</v>
      </c>
      <c r="G80">
        <v>2040000</v>
      </c>
      <c r="H80">
        <v>27.6</v>
      </c>
      <c r="I80">
        <v>2500</v>
      </c>
      <c r="J80">
        <v>5</v>
      </c>
      <c r="K80">
        <v>14700</v>
      </c>
    </row>
    <row r="81" spans="1:11" x14ac:dyDescent="0.3">
      <c r="A81">
        <v>80</v>
      </c>
      <c r="B81" t="s">
        <v>37</v>
      </c>
      <c r="C81" t="s">
        <v>47</v>
      </c>
      <c r="D81">
        <v>2018</v>
      </c>
      <c r="E81" t="s">
        <v>13</v>
      </c>
      <c r="F81" t="s">
        <v>14</v>
      </c>
      <c r="G81">
        <v>1990000</v>
      </c>
      <c r="H81">
        <v>19.899999999999999</v>
      </c>
      <c r="I81">
        <v>800</v>
      </c>
      <c r="J81">
        <v>6</v>
      </c>
      <c r="K81">
        <v>21600</v>
      </c>
    </row>
    <row r="82" spans="1:11" x14ac:dyDescent="0.3">
      <c r="A82">
        <v>81</v>
      </c>
      <c r="B82" t="s">
        <v>40</v>
      </c>
      <c r="C82" t="s">
        <v>58</v>
      </c>
      <c r="D82">
        <v>2020</v>
      </c>
      <c r="E82" t="s">
        <v>17</v>
      </c>
      <c r="F82" t="s">
        <v>31</v>
      </c>
      <c r="G82">
        <v>820000</v>
      </c>
      <c r="H82">
        <v>28.7</v>
      </c>
      <c r="I82">
        <v>2500</v>
      </c>
      <c r="J82">
        <v>5</v>
      </c>
      <c r="K82">
        <v>11700</v>
      </c>
    </row>
    <row r="83" spans="1:11" x14ac:dyDescent="0.3">
      <c r="A83">
        <v>82</v>
      </c>
      <c r="B83" t="s">
        <v>27</v>
      </c>
      <c r="C83" t="s">
        <v>28</v>
      </c>
      <c r="D83">
        <v>2020</v>
      </c>
      <c r="E83" t="s">
        <v>17</v>
      </c>
      <c r="F83" t="s">
        <v>14</v>
      </c>
      <c r="G83">
        <v>1080000</v>
      </c>
      <c r="H83">
        <v>14.3</v>
      </c>
      <c r="I83">
        <v>1800</v>
      </c>
      <c r="J83">
        <v>4</v>
      </c>
      <c r="K83">
        <v>24200</v>
      </c>
    </row>
    <row r="84" spans="1:11" x14ac:dyDescent="0.3">
      <c r="A84">
        <v>83</v>
      </c>
      <c r="B84" t="s">
        <v>18</v>
      </c>
      <c r="C84" t="s">
        <v>51</v>
      </c>
      <c r="D84">
        <v>2017</v>
      </c>
      <c r="E84" t="s">
        <v>20</v>
      </c>
      <c r="F84" t="s">
        <v>31</v>
      </c>
      <c r="G84">
        <v>1510000</v>
      </c>
      <c r="H84">
        <v>12</v>
      </c>
      <c r="I84">
        <v>1000</v>
      </c>
      <c r="J84">
        <v>4</v>
      </c>
      <c r="K84">
        <v>14200</v>
      </c>
    </row>
    <row r="85" spans="1:11" x14ac:dyDescent="0.3">
      <c r="A85">
        <v>84</v>
      </c>
      <c r="B85" t="s">
        <v>11</v>
      </c>
      <c r="C85" t="s">
        <v>69</v>
      </c>
      <c r="D85">
        <v>2022</v>
      </c>
      <c r="E85" t="s">
        <v>17</v>
      </c>
      <c r="F85" t="s">
        <v>31</v>
      </c>
      <c r="G85">
        <v>850000</v>
      </c>
      <c r="H85">
        <v>15.3</v>
      </c>
      <c r="I85">
        <v>1800</v>
      </c>
      <c r="J85">
        <v>5</v>
      </c>
      <c r="K85">
        <v>10200</v>
      </c>
    </row>
    <row r="86" spans="1:11" x14ac:dyDescent="0.3">
      <c r="A86">
        <v>85</v>
      </c>
      <c r="B86" t="s">
        <v>40</v>
      </c>
      <c r="C86" t="s">
        <v>41</v>
      </c>
      <c r="D86">
        <v>2021</v>
      </c>
      <c r="E86" t="s">
        <v>24</v>
      </c>
      <c r="F86" t="s">
        <v>31</v>
      </c>
      <c r="G86">
        <v>1450000</v>
      </c>
      <c r="H86">
        <v>27.6</v>
      </c>
      <c r="I86">
        <v>1000</v>
      </c>
      <c r="J86">
        <v>5</v>
      </c>
      <c r="K86">
        <v>16700</v>
      </c>
    </row>
    <row r="87" spans="1:11" x14ac:dyDescent="0.3">
      <c r="A87">
        <v>86</v>
      </c>
      <c r="B87" t="s">
        <v>15</v>
      </c>
      <c r="C87" t="s">
        <v>49</v>
      </c>
      <c r="D87">
        <v>2022</v>
      </c>
      <c r="E87" t="s">
        <v>20</v>
      </c>
      <c r="F87" t="s">
        <v>31</v>
      </c>
      <c r="G87">
        <v>1930000</v>
      </c>
      <c r="H87">
        <v>19.7</v>
      </c>
      <c r="I87">
        <v>2000</v>
      </c>
      <c r="J87">
        <v>5</v>
      </c>
      <c r="K87">
        <v>18300</v>
      </c>
    </row>
    <row r="88" spans="1:11" x14ac:dyDescent="0.3">
      <c r="A88">
        <v>87</v>
      </c>
      <c r="B88" t="s">
        <v>15</v>
      </c>
      <c r="C88" t="s">
        <v>16</v>
      </c>
      <c r="D88">
        <v>2016</v>
      </c>
      <c r="E88" t="s">
        <v>17</v>
      </c>
      <c r="F88" t="s">
        <v>31</v>
      </c>
      <c r="G88">
        <v>1310000</v>
      </c>
      <c r="H88">
        <v>11.9</v>
      </c>
      <c r="I88">
        <v>2000</v>
      </c>
      <c r="J88">
        <v>6</v>
      </c>
      <c r="K88">
        <v>22700</v>
      </c>
    </row>
    <row r="89" spans="1:11" x14ac:dyDescent="0.3">
      <c r="A89">
        <v>88</v>
      </c>
      <c r="B89" t="s">
        <v>29</v>
      </c>
      <c r="C89" t="s">
        <v>30</v>
      </c>
      <c r="D89">
        <v>2016</v>
      </c>
      <c r="E89" t="s">
        <v>13</v>
      </c>
      <c r="F89" t="s">
        <v>14</v>
      </c>
      <c r="G89">
        <v>520000</v>
      </c>
      <c r="H89">
        <v>26.4</v>
      </c>
      <c r="I89">
        <v>1800</v>
      </c>
      <c r="J89">
        <v>5</v>
      </c>
      <c r="K89">
        <v>14600</v>
      </c>
    </row>
    <row r="90" spans="1:11" x14ac:dyDescent="0.3">
      <c r="A90">
        <v>89</v>
      </c>
      <c r="B90" t="s">
        <v>11</v>
      </c>
      <c r="C90" t="s">
        <v>39</v>
      </c>
      <c r="D90">
        <v>2016</v>
      </c>
      <c r="E90" t="s">
        <v>13</v>
      </c>
      <c r="F90" t="s">
        <v>14</v>
      </c>
      <c r="G90">
        <v>2560000</v>
      </c>
      <c r="H90">
        <v>29.3</v>
      </c>
      <c r="I90">
        <v>1000</v>
      </c>
      <c r="J90">
        <v>4</v>
      </c>
      <c r="K90">
        <v>22900</v>
      </c>
    </row>
    <row r="91" spans="1:11" x14ac:dyDescent="0.3">
      <c r="A91">
        <v>90</v>
      </c>
      <c r="B91" t="s">
        <v>52</v>
      </c>
      <c r="C91" t="s">
        <v>68</v>
      </c>
      <c r="D91">
        <v>2017</v>
      </c>
      <c r="E91" t="s">
        <v>20</v>
      </c>
      <c r="F91" t="s">
        <v>31</v>
      </c>
      <c r="G91">
        <v>1790000</v>
      </c>
      <c r="H91">
        <v>10.5</v>
      </c>
      <c r="I91">
        <v>1800</v>
      </c>
      <c r="J91">
        <v>7</v>
      </c>
      <c r="K91">
        <v>8800</v>
      </c>
    </row>
    <row r="92" spans="1:11" x14ac:dyDescent="0.3">
      <c r="A92">
        <v>91</v>
      </c>
      <c r="B92" t="s">
        <v>27</v>
      </c>
      <c r="C92" t="s">
        <v>70</v>
      </c>
      <c r="D92">
        <v>2018</v>
      </c>
      <c r="E92" t="s">
        <v>24</v>
      </c>
      <c r="F92" t="s">
        <v>14</v>
      </c>
      <c r="G92">
        <v>1770000</v>
      </c>
      <c r="H92">
        <v>13.6</v>
      </c>
      <c r="I92">
        <v>1200</v>
      </c>
      <c r="J92">
        <v>5</v>
      </c>
      <c r="K92">
        <v>18000</v>
      </c>
    </row>
    <row r="93" spans="1:11" x14ac:dyDescent="0.3">
      <c r="A93">
        <v>92</v>
      </c>
      <c r="B93" t="s">
        <v>52</v>
      </c>
      <c r="C93" t="s">
        <v>68</v>
      </c>
      <c r="D93">
        <v>2015</v>
      </c>
      <c r="E93" t="s">
        <v>17</v>
      </c>
      <c r="F93" t="s">
        <v>14</v>
      </c>
      <c r="G93">
        <v>2750000</v>
      </c>
      <c r="H93">
        <v>22.6</v>
      </c>
      <c r="I93">
        <v>1000</v>
      </c>
      <c r="J93">
        <v>4</v>
      </c>
      <c r="K93">
        <v>18900</v>
      </c>
    </row>
    <row r="94" spans="1:11" x14ac:dyDescent="0.3">
      <c r="A94">
        <v>93</v>
      </c>
      <c r="B94" t="s">
        <v>27</v>
      </c>
      <c r="C94" t="s">
        <v>28</v>
      </c>
      <c r="D94">
        <v>2021</v>
      </c>
      <c r="E94" t="s">
        <v>13</v>
      </c>
      <c r="F94" t="s">
        <v>14</v>
      </c>
      <c r="G94">
        <v>3240000</v>
      </c>
      <c r="H94">
        <v>24.1</v>
      </c>
      <c r="I94">
        <v>1000</v>
      </c>
      <c r="J94">
        <v>4</v>
      </c>
      <c r="K94">
        <v>10400</v>
      </c>
    </row>
    <row r="95" spans="1:11" x14ac:dyDescent="0.3">
      <c r="A95">
        <v>94</v>
      </c>
      <c r="B95" t="s">
        <v>37</v>
      </c>
      <c r="C95" t="s">
        <v>55</v>
      </c>
      <c r="D95">
        <v>2023</v>
      </c>
      <c r="E95" t="s">
        <v>24</v>
      </c>
      <c r="F95" t="s">
        <v>31</v>
      </c>
      <c r="G95">
        <v>1210000</v>
      </c>
      <c r="H95">
        <v>20.8</v>
      </c>
      <c r="I95">
        <v>2000</v>
      </c>
      <c r="J95">
        <v>7</v>
      </c>
      <c r="K95">
        <v>9000</v>
      </c>
    </row>
    <row r="96" spans="1:11" x14ac:dyDescent="0.3">
      <c r="A96">
        <v>95</v>
      </c>
      <c r="B96" t="s">
        <v>11</v>
      </c>
      <c r="C96" t="s">
        <v>12</v>
      </c>
      <c r="D96">
        <v>2018</v>
      </c>
      <c r="E96" t="s">
        <v>24</v>
      </c>
      <c r="F96" t="s">
        <v>14</v>
      </c>
      <c r="G96">
        <v>2360000</v>
      </c>
      <c r="H96">
        <v>20.2</v>
      </c>
      <c r="I96">
        <v>800</v>
      </c>
      <c r="J96">
        <v>5</v>
      </c>
      <c r="K96">
        <v>13000</v>
      </c>
    </row>
    <row r="97" spans="1:11" x14ac:dyDescent="0.3">
      <c r="A97">
        <v>96</v>
      </c>
      <c r="B97" t="s">
        <v>27</v>
      </c>
      <c r="C97" t="s">
        <v>50</v>
      </c>
      <c r="D97">
        <v>2018</v>
      </c>
      <c r="E97" t="s">
        <v>13</v>
      </c>
      <c r="F97" t="s">
        <v>14</v>
      </c>
      <c r="G97">
        <v>3300000</v>
      </c>
      <c r="H97">
        <v>10.6</v>
      </c>
      <c r="I97">
        <v>1500</v>
      </c>
      <c r="J97">
        <v>6</v>
      </c>
      <c r="K97">
        <v>24200</v>
      </c>
    </row>
    <row r="98" spans="1:11" x14ac:dyDescent="0.3">
      <c r="A98">
        <v>97</v>
      </c>
      <c r="B98" t="s">
        <v>21</v>
      </c>
      <c r="C98" t="s">
        <v>33</v>
      </c>
      <c r="D98">
        <v>2017</v>
      </c>
      <c r="E98" t="s">
        <v>13</v>
      </c>
      <c r="F98" t="s">
        <v>31</v>
      </c>
      <c r="G98">
        <v>1610000</v>
      </c>
      <c r="H98">
        <v>18.2</v>
      </c>
      <c r="I98">
        <v>800</v>
      </c>
      <c r="J98">
        <v>4</v>
      </c>
      <c r="K98">
        <v>23600</v>
      </c>
    </row>
    <row r="99" spans="1:11" x14ac:dyDescent="0.3">
      <c r="A99">
        <v>98</v>
      </c>
      <c r="B99" t="s">
        <v>18</v>
      </c>
      <c r="C99" t="s">
        <v>71</v>
      </c>
      <c r="D99">
        <v>2020</v>
      </c>
      <c r="E99" t="s">
        <v>17</v>
      </c>
      <c r="F99" t="s">
        <v>14</v>
      </c>
      <c r="G99">
        <v>1370000</v>
      </c>
      <c r="H99">
        <v>26</v>
      </c>
      <c r="I99">
        <v>1200</v>
      </c>
      <c r="J99">
        <v>7</v>
      </c>
      <c r="K99">
        <v>13400</v>
      </c>
    </row>
    <row r="100" spans="1:11" x14ac:dyDescent="0.3">
      <c r="A100">
        <v>99</v>
      </c>
      <c r="B100" t="s">
        <v>52</v>
      </c>
      <c r="C100" t="s">
        <v>53</v>
      </c>
      <c r="D100">
        <v>2017</v>
      </c>
      <c r="E100" t="s">
        <v>17</v>
      </c>
      <c r="F100" t="s">
        <v>31</v>
      </c>
      <c r="G100">
        <v>3320000</v>
      </c>
      <c r="H100">
        <v>16.600000000000001</v>
      </c>
      <c r="I100">
        <v>1000</v>
      </c>
      <c r="J100">
        <v>6</v>
      </c>
      <c r="K100">
        <v>10300</v>
      </c>
    </row>
    <row r="101" spans="1:11" x14ac:dyDescent="0.3">
      <c r="A101">
        <v>100</v>
      </c>
      <c r="B101" t="s">
        <v>52</v>
      </c>
      <c r="C101" t="s">
        <v>65</v>
      </c>
      <c r="D101">
        <v>2020</v>
      </c>
      <c r="E101" t="s">
        <v>24</v>
      </c>
      <c r="F101" t="s">
        <v>31</v>
      </c>
      <c r="G101">
        <v>2470000</v>
      </c>
      <c r="H101">
        <v>14.2</v>
      </c>
      <c r="I101">
        <v>1000</v>
      </c>
      <c r="J101">
        <v>5</v>
      </c>
      <c r="K101">
        <v>23100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DA5B6-8D43-4E57-BF93-E041A0E1189D}">
  <dimension ref="A1:K101"/>
  <sheetViews>
    <sheetView workbookViewId="0">
      <selection activeCell="N19" sqref="N19"/>
    </sheetView>
  </sheetViews>
  <sheetFormatPr defaultRowHeight="14.4" x14ac:dyDescent="0.3"/>
  <cols>
    <col min="1" max="1" width="8.33203125" customWidth="1"/>
    <col min="5" max="5" width="11.109375" customWidth="1"/>
    <col min="6" max="6" width="13.88671875" customWidth="1"/>
    <col min="8" max="8" width="9.33203125" customWidth="1"/>
    <col min="9" max="9" width="11.5546875" customWidth="1"/>
    <col min="10" max="10" width="17.33203125" customWidth="1"/>
    <col min="11" max="11" width="13.6640625"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t="s">
        <v>12</v>
      </c>
      <c r="D2">
        <v>2024</v>
      </c>
      <c r="E2" t="s">
        <v>13</v>
      </c>
      <c r="F2" t="s">
        <v>14</v>
      </c>
      <c r="G2">
        <v>2020000</v>
      </c>
      <c r="H2">
        <v>27.3</v>
      </c>
      <c r="I2">
        <v>800</v>
      </c>
      <c r="J2">
        <v>4</v>
      </c>
      <c r="K2" s="1">
        <v>24100</v>
      </c>
    </row>
    <row r="3" spans="1:11" x14ac:dyDescent="0.3">
      <c r="A3">
        <v>2</v>
      </c>
      <c r="B3" t="s">
        <v>15</v>
      </c>
      <c r="C3" t="s">
        <v>16</v>
      </c>
      <c r="D3">
        <v>2023</v>
      </c>
      <c r="E3" t="s">
        <v>17</v>
      </c>
      <c r="F3" t="s">
        <v>14</v>
      </c>
      <c r="G3">
        <v>1770000</v>
      </c>
      <c r="H3">
        <v>16.399999999999999</v>
      </c>
      <c r="I3">
        <v>2500</v>
      </c>
      <c r="J3">
        <v>7</v>
      </c>
      <c r="K3" s="1">
        <v>18800</v>
      </c>
    </row>
    <row r="4" spans="1:11" x14ac:dyDescent="0.3">
      <c r="A4">
        <v>3</v>
      </c>
      <c r="B4" t="s">
        <v>18</v>
      </c>
      <c r="C4" t="s">
        <v>19</v>
      </c>
      <c r="D4">
        <v>2016</v>
      </c>
      <c r="E4" t="s">
        <v>20</v>
      </c>
      <c r="F4" t="s">
        <v>14</v>
      </c>
      <c r="G4">
        <v>3430000</v>
      </c>
      <c r="H4">
        <v>17.600000000000001</v>
      </c>
      <c r="I4">
        <v>2000</v>
      </c>
      <c r="J4">
        <v>6</v>
      </c>
      <c r="K4" s="1">
        <v>24700</v>
      </c>
    </row>
    <row r="5" spans="1:11" x14ac:dyDescent="0.3">
      <c r="A5">
        <v>4</v>
      </c>
      <c r="B5" t="s">
        <v>21</v>
      </c>
      <c r="C5" t="s">
        <v>22</v>
      </c>
      <c r="D5">
        <v>2019</v>
      </c>
      <c r="E5" t="s">
        <v>20</v>
      </c>
      <c r="F5" t="s">
        <v>14</v>
      </c>
      <c r="G5">
        <v>1610000</v>
      </c>
      <c r="H5">
        <v>19.2</v>
      </c>
      <c r="I5">
        <v>2500</v>
      </c>
      <c r="J5">
        <v>6</v>
      </c>
      <c r="K5" s="1">
        <v>23300</v>
      </c>
    </row>
    <row r="6" spans="1:11" x14ac:dyDescent="0.3">
      <c r="A6">
        <v>5</v>
      </c>
      <c r="B6" t="s">
        <v>21</v>
      </c>
      <c r="C6" t="s">
        <v>23</v>
      </c>
      <c r="D6">
        <v>2015</v>
      </c>
      <c r="E6" t="s">
        <v>24</v>
      </c>
      <c r="F6" t="s">
        <v>14</v>
      </c>
      <c r="G6">
        <v>1840000</v>
      </c>
      <c r="H6">
        <v>15.8</v>
      </c>
      <c r="I6">
        <v>1000</v>
      </c>
      <c r="J6">
        <v>5</v>
      </c>
      <c r="K6" s="1">
        <v>5800</v>
      </c>
    </row>
    <row r="7" spans="1:11" x14ac:dyDescent="0.3">
      <c r="A7">
        <v>6</v>
      </c>
      <c r="B7" t="s">
        <v>15</v>
      </c>
      <c r="C7" t="s">
        <v>25</v>
      </c>
      <c r="D7">
        <v>2020</v>
      </c>
      <c r="E7" t="s">
        <v>20</v>
      </c>
      <c r="F7" t="s">
        <v>14</v>
      </c>
      <c r="G7">
        <v>2780000</v>
      </c>
      <c r="H7">
        <v>21.5</v>
      </c>
      <c r="I7">
        <v>1800</v>
      </c>
      <c r="J7">
        <v>7</v>
      </c>
      <c r="K7" s="1">
        <v>23700</v>
      </c>
    </row>
    <row r="8" spans="1:11" x14ac:dyDescent="0.3">
      <c r="A8">
        <v>7</v>
      </c>
      <c r="B8" t="s">
        <v>11</v>
      </c>
      <c r="C8" t="s">
        <v>26</v>
      </c>
      <c r="D8">
        <v>2019</v>
      </c>
      <c r="E8" t="s">
        <v>13</v>
      </c>
      <c r="F8" t="s">
        <v>14</v>
      </c>
      <c r="G8">
        <v>2270000</v>
      </c>
      <c r="H8">
        <v>29.7</v>
      </c>
      <c r="I8">
        <v>1500</v>
      </c>
      <c r="J8">
        <v>7</v>
      </c>
      <c r="K8" s="1">
        <v>13300</v>
      </c>
    </row>
    <row r="9" spans="1:11" x14ac:dyDescent="0.3">
      <c r="A9">
        <v>8</v>
      </c>
      <c r="B9" t="s">
        <v>27</v>
      </c>
      <c r="C9" t="s">
        <v>28</v>
      </c>
      <c r="D9">
        <v>2017</v>
      </c>
      <c r="E9" t="s">
        <v>13</v>
      </c>
      <c r="F9" t="s">
        <v>14</v>
      </c>
      <c r="G9">
        <v>2770000</v>
      </c>
      <c r="H9">
        <v>20.2</v>
      </c>
      <c r="I9">
        <v>1800</v>
      </c>
      <c r="J9">
        <v>4</v>
      </c>
      <c r="K9" s="1">
        <v>10200</v>
      </c>
    </row>
    <row r="10" spans="1:11" x14ac:dyDescent="0.3">
      <c r="A10">
        <v>9</v>
      </c>
      <c r="B10" t="s">
        <v>29</v>
      </c>
      <c r="C10" t="s">
        <v>30</v>
      </c>
      <c r="D10">
        <v>2015</v>
      </c>
      <c r="E10" t="s">
        <v>20</v>
      </c>
      <c r="F10" t="s">
        <v>14</v>
      </c>
      <c r="G10">
        <v>2180000</v>
      </c>
      <c r="H10">
        <v>10.5</v>
      </c>
      <c r="I10">
        <v>1800</v>
      </c>
      <c r="J10">
        <v>5</v>
      </c>
      <c r="K10" s="1">
        <v>18900</v>
      </c>
    </row>
    <row r="11" spans="1:11" x14ac:dyDescent="0.3">
      <c r="A11">
        <v>10</v>
      </c>
      <c r="B11" t="s">
        <v>15</v>
      </c>
      <c r="C11" t="s">
        <v>16</v>
      </c>
      <c r="D11">
        <v>2019</v>
      </c>
      <c r="E11" t="s">
        <v>13</v>
      </c>
      <c r="F11" t="s">
        <v>31</v>
      </c>
      <c r="G11">
        <v>990000</v>
      </c>
      <c r="H11">
        <v>16.100000000000001</v>
      </c>
      <c r="I11">
        <v>1800</v>
      </c>
      <c r="J11">
        <v>6</v>
      </c>
      <c r="K11" s="1">
        <v>15400</v>
      </c>
    </row>
    <row r="12" spans="1:11" x14ac:dyDescent="0.3">
      <c r="A12">
        <v>11</v>
      </c>
      <c r="B12" t="s">
        <v>21</v>
      </c>
      <c r="C12" t="s">
        <v>32</v>
      </c>
      <c r="D12">
        <v>2022</v>
      </c>
      <c r="E12" t="s">
        <v>13</v>
      </c>
      <c r="F12" t="s">
        <v>31</v>
      </c>
      <c r="G12">
        <v>3010000</v>
      </c>
      <c r="H12">
        <v>17.2</v>
      </c>
      <c r="I12">
        <v>1500</v>
      </c>
      <c r="J12">
        <v>4</v>
      </c>
      <c r="K12" s="1">
        <v>8500</v>
      </c>
    </row>
    <row r="13" spans="1:11" x14ac:dyDescent="0.3">
      <c r="A13">
        <v>12</v>
      </c>
      <c r="B13" t="s">
        <v>21</v>
      </c>
      <c r="C13" t="s">
        <v>33</v>
      </c>
      <c r="D13">
        <v>2018</v>
      </c>
      <c r="E13" t="s">
        <v>20</v>
      </c>
      <c r="F13" t="s">
        <v>14</v>
      </c>
      <c r="G13">
        <v>2000000</v>
      </c>
      <c r="H13">
        <v>10.8</v>
      </c>
      <c r="I13">
        <v>2000</v>
      </c>
      <c r="J13">
        <v>6</v>
      </c>
      <c r="K13" s="1">
        <v>7800</v>
      </c>
    </row>
    <row r="14" spans="1:11" x14ac:dyDescent="0.3">
      <c r="A14">
        <v>13</v>
      </c>
      <c r="B14" t="s">
        <v>29</v>
      </c>
      <c r="C14" t="s">
        <v>34</v>
      </c>
      <c r="D14">
        <v>2022</v>
      </c>
      <c r="E14" t="s">
        <v>20</v>
      </c>
      <c r="F14" t="s">
        <v>31</v>
      </c>
      <c r="G14">
        <v>820000</v>
      </c>
      <c r="H14">
        <v>29.6</v>
      </c>
      <c r="I14">
        <v>1000</v>
      </c>
      <c r="J14">
        <v>5</v>
      </c>
      <c r="K14" s="1">
        <v>19100</v>
      </c>
    </row>
    <row r="15" spans="1:11" x14ac:dyDescent="0.3">
      <c r="A15">
        <v>14</v>
      </c>
      <c r="B15" t="s">
        <v>21</v>
      </c>
      <c r="C15" t="s">
        <v>32</v>
      </c>
      <c r="D15">
        <v>2022</v>
      </c>
      <c r="E15" t="s">
        <v>13</v>
      </c>
      <c r="F15" t="s">
        <v>14</v>
      </c>
      <c r="G15">
        <v>3020000</v>
      </c>
      <c r="H15">
        <v>25.3</v>
      </c>
      <c r="I15">
        <v>2500</v>
      </c>
      <c r="J15">
        <v>7</v>
      </c>
      <c r="K15" s="1">
        <v>7300</v>
      </c>
    </row>
    <row r="16" spans="1:11" x14ac:dyDescent="0.3">
      <c r="A16">
        <v>15</v>
      </c>
      <c r="B16" t="s">
        <v>35</v>
      </c>
      <c r="C16" t="s">
        <v>36</v>
      </c>
      <c r="D16">
        <v>2017</v>
      </c>
      <c r="E16" t="s">
        <v>17</v>
      </c>
      <c r="F16" t="s">
        <v>14</v>
      </c>
      <c r="G16">
        <v>1280000</v>
      </c>
      <c r="H16">
        <v>11.1</v>
      </c>
      <c r="I16">
        <v>2500</v>
      </c>
      <c r="J16">
        <v>6</v>
      </c>
      <c r="K16" s="1">
        <v>23300</v>
      </c>
    </row>
    <row r="17" spans="1:11" x14ac:dyDescent="0.3">
      <c r="A17">
        <v>16</v>
      </c>
      <c r="B17" t="s">
        <v>37</v>
      </c>
      <c r="C17" t="s">
        <v>38</v>
      </c>
      <c r="D17">
        <v>2016</v>
      </c>
      <c r="E17" t="s">
        <v>17</v>
      </c>
      <c r="F17" t="s">
        <v>31</v>
      </c>
      <c r="G17">
        <v>490000</v>
      </c>
      <c r="H17">
        <v>19.2</v>
      </c>
      <c r="I17">
        <v>2500</v>
      </c>
      <c r="J17">
        <v>5</v>
      </c>
      <c r="K17" s="1">
        <v>7300</v>
      </c>
    </row>
    <row r="18" spans="1:11" x14ac:dyDescent="0.3">
      <c r="A18">
        <v>17</v>
      </c>
      <c r="B18" t="s">
        <v>11</v>
      </c>
      <c r="C18" t="s">
        <v>39</v>
      </c>
      <c r="D18">
        <v>2016</v>
      </c>
      <c r="E18" t="s">
        <v>13</v>
      </c>
      <c r="F18" t="s">
        <v>31</v>
      </c>
      <c r="G18">
        <v>540000</v>
      </c>
      <c r="H18">
        <v>14.9</v>
      </c>
      <c r="I18">
        <v>1000</v>
      </c>
      <c r="J18">
        <v>4</v>
      </c>
      <c r="K18" s="1">
        <v>9500</v>
      </c>
    </row>
    <row r="19" spans="1:11" x14ac:dyDescent="0.3">
      <c r="A19">
        <v>18</v>
      </c>
      <c r="B19" t="s">
        <v>40</v>
      </c>
      <c r="C19" t="s">
        <v>41</v>
      </c>
      <c r="D19">
        <v>2023</v>
      </c>
      <c r="E19" t="s">
        <v>20</v>
      </c>
      <c r="F19" t="s">
        <v>31</v>
      </c>
      <c r="G19">
        <v>3360000</v>
      </c>
      <c r="H19">
        <v>21.8</v>
      </c>
      <c r="I19">
        <v>1200</v>
      </c>
      <c r="J19">
        <v>7</v>
      </c>
      <c r="K19" s="1">
        <v>21100</v>
      </c>
    </row>
    <row r="20" spans="1:11" x14ac:dyDescent="0.3">
      <c r="A20">
        <v>19</v>
      </c>
      <c r="B20" t="s">
        <v>37</v>
      </c>
      <c r="C20" t="s">
        <v>42</v>
      </c>
      <c r="D20">
        <v>2015</v>
      </c>
      <c r="E20" t="s">
        <v>13</v>
      </c>
      <c r="F20" t="s">
        <v>14</v>
      </c>
      <c r="G20">
        <v>910000</v>
      </c>
      <c r="H20">
        <v>13.5</v>
      </c>
      <c r="I20">
        <v>1200</v>
      </c>
      <c r="J20">
        <v>6</v>
      </c>
      <c r="K20" s="1">
        <v>15400</v>
      </c>
    </row>
    <row r="21" spans="1:11" x14ac:dyDescent="0.3">
      <c r="A21">
        <v>20</v>
      </c>
      <c r="B21" t="s">
        <v>40</v>
      </c>
      <c r="C21" t="s">
        <v>43</v>
      </c>
      <c r="D21">
        <v>2017</v>
      </c>
      <c r="E21" t="s">
        <v>13</v>
      </c>
      <c r="F21" t="s">
        <v>14</v>
      </c>
      <c r="G21">
        <v>1780000</v>
      </c>
      <c r="H21">
        <v>26.9</v>
      </c>
      <c r="I21">
        <v>1200</v>
      </c>
      <c r="J21">
        <v>7</v>
      </c>
      <c r="K21" s="1">
        <v>24800</v>
      </c>
    </row>
    <row r="22" spans="1:11" x14ac:dyDescent="0.3">
      <c r="A22">
        <v>21</v>
      </c>
      <c r="B22" t="s">
        <v>21</v>
      </c>
      <c r="C22" t="s">
        <v>32</v>
      </c>
      <c r="D22">
        <v>2024</v>
      </c>
      <c r="E22" t="s">
        <v>17</v>
      </c>
      <c r="F22" t="s">
        <v>14</v>
      </c>
      <c r="G22">
        <v>1430000</v>
      </c>
      <c r="H22">
        <v>24.8</v>
      </c>
      <c r="I22">
        <v>1500</v>
      </c>
      <c r="J22">
        <v>4</v>
      </c>
      <c r="K22" s="1">
        <v>5600</v>
      </c>
    </row>
    <row r="23" spans="1:11" x14ac:dyDescent="0.3">
      <c r="A23">
        <v>22</v>
      </c>
      <c r="B23" t="s">
        <v>11</v>
      </c>
      <c r="C23" t="s">
        <v>39</v>
      </c>
      <c r="D23">
        <v>2022</v>
      </c>
      <c r="E23" t="s">
        <v>17</v>
      </c>
      <c r="F23" t="s">
        <v>14</v>
      </c>
      <c r="G23">
        <v>2160000</v>
      </c>
      <c r="H23">
        <v>29.7</v>
      </c>
      <c r="I23">
        <v>2000</v>
      </c>
      <c r="J23">
        <v>5</v>
      </c>
      <c r="K23" s="1">
        <v>22600</v>
      </c>
    </row>
    <row r="24" spans="1:11" x14ac:dyDescent="0.3">
      <c r="A24">
        <v>23</v>
      </c>
      <c r="B24" t="s">
        <v>11</v>
      </c>
      <c r="C24" t="s">
        <v>44</v>
      </c>
      <c r="D24">
        <v>2023</v>
      </c>
      <c r="E24" t="s">
        <v>24</v>
      </c>
      <c r="F24" t="s">
        <v>31</v>
      </c>
      <c r="G24">
        <v>2890000</v>
      </c>
      <c r="H24">
        <v>12.2</v>
      </c>
      <c r="I24">
        <v>1200</v>
      </c>
      <c r="J24">
        <v>5</v>
      </c>
      <c r="K24" s="1">
        <v>23500</v>
      </c>
    </row>
    <row r="25" spans="1:11" x14ac:dyDescent="0.3">
      <c r="A25">
        <v>24</v>
      </c>
      <c r="B25" t="s">
        <v>35</v>
      </c>
      <c r="C25" t="s">
        <v>45</v>
      </c>
      <c r="D25">
        <v>2016</v>
      </c>
      <c r="E25" t="s">
        <v>24</v>
      </c>
      <c r="F25" t="s">
        <v>31</v>
      </c>
      <c r="G25">
        <v>1470000</v>
      </c>
      <c r="H25">
        <v>21.3</v>
      </c>
      <c r="I25">
        <v>1500</v>
      </c>
      <c r="J25">
        <v>5</v>
      </c>
      <c r="K25" s="1">
        <v>8800</v>
      </c>
    </row>
    <row r="26" spans="1:11" x14ac:dyDescent="0.3">
      <c r="A26">
        <v>25</v>
      </c>
      <c r="B26" t="s">
        <v>11</v>
      </c>
      <c r="C26" t="s">
        <v>26</v>
      </c>
      <c r="D26">
        <v>2020</v>
      </c>
      <c r="E26" t="s">
        <v>24</v>
      </c>
      <c r="F26" t="s">
        <v>31</v>
      </c>
      <c r="G26">
        <v>2520000</v>
      </c>
      <c r="H26">
        <v>16.5</v>
      </c>
      <c r="I26">
        <v>2000</v>
      </c>
      <c r="J26">
        <v>7</v>
      </c>
      <c r="K26" s="1">
        <v>5600</v>
      </c>
    </row>
    <row r="27" spans="1:11" x14ac:dyDescent="0.3">
      <c r="A27">
        <v>26</v>
      </c>
      <c r="B27" t="s">
        <v>37</v>
      </c>
      <c r="C27" t="s">
        <v>38</v>
      </c>
      <c r="D27">
        <v>2024</v>
      </c>
      <c r="E27" t="s">
        <v>20</v>
      </c>
      <c r="F27" t="s">
        <v>14</v>
      </c>
      <c r="G27">
        <v>2650000</v>
      </c>
      <c r="H27">
        <v>29.2</v>
      </c>
      <c r="I27">
        <v>1200</v>
      </c>
      <c r="J27">
        <v>7</v>
      </c>
      <c r="K27" s="1">
        <v>8200</v>
      </c>
    </row>
    <row r="28" spans="1:11" x14ac:dyDescent="0.3">
      <c r="A28">
        <v>27</v>
      </c>
      <c r="B28" t="s">
        <v>18</v>
      </c>
      <c r="C28" t="s">
        <v>46</v>
      </c>
      <c r="D28">
        <v>2015</v>
      </c>
      <c r="E28" t="s">
        <v>24</v>
      </c>
      <c r="F28" t="s">
        <v>31</v>
      </c>
      <c r="G28">
        <v>940000</v>
      </c>
      <c r="H28">
        <v>15.6</v>
      </c>
      <c r="I28">
        <v>1000</v>
      </c>
      <c r="J28">
        <v>4</v>
      </c>
      <c r="K28" s="1">
        <v>24300</v>
      </c>
    </row>
    <row r="29" spans="1:11" x14ac:dyDescent="0.3">
      <c r="A29">
        <v>28</v>
      </c>
      <c r="B29" t="s">
        <v>35</v>
      </c>
      <c r="C29" t="s">
        <v>45</v>
      </c>
      <c r="D29">
        <v>2019</v>
      </c>
      <c r="E29" t="s">
        <v>24</v>
      </c>
      <c r="F29" t="s">
        <v>14</v>
      </c>
      <c r="G29">
        <v>2770000</v>
      </c>
      <c r="H29">
        <v>13.8</v>
      </c>
      <c r="I29">
        <v>2500</v>
      </c>
      <c r="J29">
        <v>6</v>
      </c>
      <c r="K29" s="1">
        <v>11400</v>
      </c>
    </row>
    <row r="30" spans="1:11" x14ac:dyDescent="0.3">
      <c r="A30">
        <v>29</v>
      </c>
      <c r="B30" t="s">
        <v>37</v>
      </c>
      <c r="C30" t="s">
        <v>47</v>
      </c>
      <c r="D30">
        <v>2018</v>
      </c>
      <c r="E30" t="s">
        <v>24</v>
      </c>
      <c r="F30" t="s">
        <v>14</v>
      </c>
      <c r="G30">
        <v>2820000</v>
      </c>
      <c r="H30">
        <v>21.4</v>
      </c>
      <c r="I30">
        <v>2500</v>
      </c>
      <c r="J30">
        <v>5</v>
      </c>
      <c r="K30" s="1">
        <v>15500</v>
      </c>
    </row>
    <row r="31" spans="1:11" x14ac:dyDescent="0.3">
      <c r="A31">
        <v>30</v>
      </c>
      <c r="B31" t="s">
        <v>29</v>
      </c>
      <c r="C31" t="s">
        <v>34</v>
      </c>
      <c r="D31">
        <v>2022</v>
      </c>
      <c r="E31" t="s">
        <v>24</v>
      </c>
      <c r="F31" t="s">
        <v>31</v>
      </c>
      <c r="G31">
        <v>1200000</v>
      </c>
      <c r="H31">
        <v>22.5</v>
      </c>
      <c r="I31">
        <v>1200</v>
      </c>
      <c r="J31">
        <v>4</v>
      </c>
      <c r="K31" s="1">
        <v>15100</v>
      </c>
    </row>
    <row r="32" spans="1:11" x14ac:dyDescent="0.3">
      <c r="A32">
        <v>31</v>
      </c>
      <c r="B32" t="s">
        <v>37</v>
      </c>
      <c r="C32" t="s">
        <v>48</v>
      </c>
      <c r="D32">
        <v>2023</v>
      </c>
      <c r="E32" t="s">
        <v>17</v>
      </c>
      <c r="F32" t="s">
        <v>14</v>
      </c>
      <c r="G32">
        <v>1530000</v>
      </c>
      <c r="H32">
        <v>13.9</v>
      </c>
      <c r="I32">
        <v>2500</v>
      </c>
      <c r="J32">
        <v>6</v>
      </c>
      <c r="K32" s="1">
        <v>13200</v>
      </c>
    </row>
    <row r="33" spans="1:11" x14ac:dyDescent="0.3">
      <c r="A33">
        <v>32</v>
      </c>
      <c r="B33" t="s">
        <v>15</v>
      </c>
      <c r="C33" t="s">
        <v>49</v>
      </c>
      <c r="D33">
        <v>2022</v>
      </c>
      <c r="E33" t="s">
        <v>17</v>
      </c>
      <c r="F33" t="s">
        <v>31</v>
      </c>
      <c r="G33">
        <v>950000</v>
      </c>
      <c r="H33">
        <v>10.1</v>
      </c>
      <c r="I33">
        <v>1500</v>
      </c>
      <c r="J33">
        <v>5</v>
      </c>
      <c r="K33" s="1">
        <v>14800</v>
      </c>
    </row>
    <row r="34" spans="1:11" x14ac:dyDescent="0.3">
      <c r="A34">
        <v>33</v>
      </c>
      <c r="B34" t="s">
        <v>11</v>
      </c>
      <c r="C34" t="s">
        <v>12</v>
      </c>
      <c r="D34">
        <v>2018</v>
      </c>
      <c r="E34" t="s">
        <v>13</v>
      </c>
      <c r="F34" t="s">
        <v>14</v>
      </c>
      <c r="G34">
        <v>1010000</v>
      </c>
      <c r="H34">
        <v>25</v>
      </c>
      <c r="I34">
        <v>800</v>
      </c>
      <c r="J34">
        <v>6</v>
      </c>
      <c r="K34" s="1">
        <v>12400</v>
      </c>
    </row>
    <row r="35" spans="1:11" x14ac:dyDescent="0.3">
      <c r="A35">
        <v>34</v>
      </c>
      <c r="B35" t="s">
        <v>21</v>
      </c>
      <c r="C35" t="s">
        <v>22</v>
      </c>
      <c r="D35">
        <v>2021</v>
      </c>
      <c r="E35" t="s">
        <v>13</v>
      </c>
      <c r="F35" t="s">
        <v>31</v>
      </c>
      <c r="G35">
        <v>2370000</v>
      </c>
      <c r="H35">
        <v>29.4</v>
      </c>
      <c r="I35">
        <v>2500</v>
      </c>
      <c r="J35">
        <v>6</v>
      </c>
      <c r="K35" s="1">
        <v>17000</v>
      </c>
    </row>
    <row r="36" spans="1:11" x14ac:dyDescent="0.3">
      <c r="A36">
        <v>35</v>
      </c>
      <c r="B36" t="s">
        <v>27</v>
      </c>
      <c r="C36" t="s">
        <v>50</v>
      </c>
      <c r="D36">
        <v>2016</v>
      </c>
      <c r="E36" t="s">
        <v>13</v>
      </c>
      <c r="F36" t="s">
        <v>31</v>
      </c>
      <c r="G36">
        <v>2590000</v>
      </c>
      <c r="H36">
        <v>28.8</v>
      </c>
      <c r="I36">
        <v>1500</v>
      </c>
      <c r="J36">
        <v>7</v>
      </c>
      <c r="K36" s="1">
        <v>12400</v>
      </c>
    </row>
    <row r="37" spans="1:11" x14ac:dyDescent="0.3">
      <c r="A37">
        <v>36</v>
      </c>
      <c r="B37" t="s">
        <v>18</v>
      </c>
      <c r="C37" t="s">
        <v>51</v>
      </c>
      <c r="D37">
        <v>2019</v>
      </c>
      <c r="E37" t="s">
        <v>17</v>
      </c>
      <c r="F37" t="s">
        <v>14</v>
      </c>
      <c r="G37">
        <v>1920000</v>
      </c>
      <c r="H37">
        <v>11.9</v>
      </c>
      <c r="I37">
        <v>1500</v>
      </c>
      <c r="J37">
        <v>7</v>
      </c>
      <c r="K37" s="1">
        <v>16600</v>
      </c>
    </row>
    <row r="38" spans="1:11" x14ac:dyDescent="0.3">
      <c r="A38">
        <v>37</v>
      </c>
      <c r="B38" t="s">
        <v>15</v>
      </c>
      <c r="C38" t="s">
        <v>16</v>
      </c>
      <c r="D38">
        <v>2020</v>
      </c>
      <c r="E38" t="s">
        <v>13</v>
      </c>
      <c r="F38" t="s">
        <v>31</v>
      </c>
      <c r="G38">
        <v>1990000</v>
      </c>
      <c r="H38">
        <v>16</v>
      </c>
      <c r="I38">
        <v>1000</v>
      </c>
      <c r="J38">
        <v>7</v>
      </c>
      <c r="K38" s="1">
        <v>5100</v>
      </c>
    </row>
    <row r="39" spans="1:11" x14ac:dyDescent="0.3">
      <c r="A39">
        <v>38</v>
      </c>
      <c r="B39" t="s">
        <v>52</v>
      </c>
      <c r="C39" t="s">
        <v>53</v>
      </c>
      <c r="D39">
        <v>2019</v>
      </c>
      <c r="E39" t="s">
        <v>17</v>
      </c>
      <c r="F39" t="s">
        <v>31</v>
      </c>
      <c r="G39">
        <v>1730000</v>
      </c>
      <c r="H39">
        <v>23</v>
      </c>
      <c r="I39">
        <v>1800</v>
      </c>
      <c r="J39">
        <v>7</v>
      </c>
      <c r="K39" s="1">
        <v>19300</v>
      </c>
    </row>
    <row r="40" spans="1:11" x14ac:dyDescent="0.3">
      <c r="A40">
        <v>39</v>
      </c>
      <c r="B40" t="s">
        <v>40</v>
      </c>
      <c r="C40" t="s">
        <v>54</v>
      </c>
      <c r="D40">
        <v>2017</v>
      </c>
      <c r="E40" t="s">
        <v>17</v>
      </c>
      <c r="F40" t="s">
        <v>31</v>
      </c>
      <c r="G40">
        <v>3290000</v>
      </c>
      <c r="H40">
        <v>10.7</v>
      </c>
      <c r="I40">
        <v>1800</v>
      </c>
      <c r="J40">
        <v>6</v>
      </c>
      <c r="K40" s="1">
        <v>6800</v>
      </c>
    </row>
    <row r="41" spans="1:11" x14ac:dyDescent="0.3">
      <c r="A41">
        <v>40</v>
      </c>
      <c r="B41" t="s">
        <v>11</v>
      </c>
      <c r="C41" t="s">
        <v>26</v>
      </c>
      <c r="D41">
        <v>2015</v>
      </c>
      <c r="E41" t="s">
        <v>17</v>
      </c>
      <c r="F41" t="s">
        <v>31</v>
      </c>
      <c r="G41">
        <v>520000</v>
      </c>
      <c r="H41">
        <v>14.5</v>
      </c>
      <c r="I41">
        <v>1800</v>
      </c>
      <c r="J41">
        <v>6</v>
      </c>
      <c r="K41" s="1">
        <v>8300</v>
      </c>
    </row>
    <row r="42" spans="1:11" x14ac:dyDescent="0.3">
      <c r="A42">
        <v>41</v>
      </c>
      <c r="B42" t="s">
        <v>37</v>
      </c>
      <c r="C42" t="s">
        <v>48</v>
      </c>
      <c r="D42">
        <v>2021</v>
      </c>
      <c r="E42" t="s">
        <v>17</v>
      </c>
      <c r="F42" t="s">
        <v>14</v>
      </c>
      <c r="G42">
        <v>1260000</v>
      </c>
      <c r="H42">
        <v>25.9</v>
      </c>
      <c r="I42">
        <v>1500</v>
      </c>
      <c r="J42">
        <v>4</v>
      </c>
      <c r="K42" s="1">
        <v>24400</v>
      </c>
    </row>
    <row r="43" spans="1:11" x14ac:dyDescent="0.3">
      <c r="A43">
        <v>42</v>
      </c>
      <c r="B43" t="s">
        <v>37</v>
      </c>
      <c r="C43" t="s">
        <v>48</v>
      </c>
      <c r="D43">
        <v>2024</v>
      </c>
      <c r="E43" t="s">
        <v>17</v>
      </c>
      <c r="F43" t="s">
        <v>31</v>
      </c>
      <c r="G43">
        <v>500000</v>
      </c>
      <c r="H43">
        <v>16.8</v>
      </c>
      <c r="I43">
        <v>2000</v>
      </c>
      <c r="J43">
        <v>4</v>
      </c>
      <c r="K43" s="1">
        <v>14000</v>
      </c>
    </row>
    <row r="44" spans="1:11" x14ac:dyDescent="0.3">
      <c r="A44">
        <v>43</v>
      </c>
      <c r="B44" t="s">
        <v>37</v>
      </c>
      <c r="C44" t="s">
        <v>55</v>
      </c>
      <c r="D44">
        <v>2022</v>
      </c>
      <c r="E44" t="s">
        <v>13</v>
      </c>
      <c r="F44" t="s">
        <v>14</v>
      </c>
      <c r="G44">
        <v>1860000</v>
      </c>
      <c r="H44">
        <v>19.899999999999999</v>
      </c>
      <c r="I44">
        <v>1200</v>
      </c>
      <c r="J44">
        <v>5</v>
      </c>
      <c r="K44" s="1">
        <v>14300</v>
      </c>
    </row>
    <row r="45" spans="1:11" x14ac:dyDescent="0.3">
      <c r="A45">
        <v>44</v>
      </c>
      <c r="B45" t="s">
        <v>37</v>
      </c>
      <c r="C45" t="s">
        <v>38</v>
      </c>
      <c r="D45">
        <v>2021</v>
      </c>
      <c r="E45" t="s">
        <v>13</v>
      </c>
      <c r="F45" t="s">
        <v>31</v>
      </c>
      <c r="G45">
        <v>410000</v>
      </c>
      <c r="H45">
        <v>12.9</v>
      </c>
      <c r="I45">
        <v>1500</v>
      </c>
      <c r="J45">
        <v>7</v>
      </c>
      <c r="K45" s="1">
        <v>19400</v>
      </c>
    </row>
    <row r="46" spans="1:11" x14ac:dyDescent="0.3">
      <c r="A46">
        <v>45</v>
      </c>
      <c r="B46" t="s">
        <v>35</v>
      </c>
      <c r="C46" t="s">
        <v>36</v>
      </c>
      <c r="D46">
        <v>2022</v>
      </c>
      <c r="E46" t="s">
        <v>13</v>
      </c>
      <c r="F46" t="s">
        <v>31</v>
      </c>
      <c r="G46">
        <v>1290000</v>
      </c>
      <c r="H46">
        <v>25.9</v>
      </c>
      <c r="I46">
        <v>1800</v>
      </c>
      <c r="J46">
        <v>6</v>
      </c>
      <c r="K46" s="1">
        <v>16600</v>
      </c>
    </row>
    <row r="47" spans="1:11" x14ac:dyDescent="0.3">
      <c r="A47">
        <v>46</v>
      </c>
      <c r="B47" t="s">
        <v>18</v>
      </c>
      <c r="C47" t="s">
        <v>19</v>
      </c>
      <c r="D47">
        <v>2018</v>
      </c>
      <c r="E47" t="s">
        <v>13</v>
      </c>
      <c r="F47" t="s">
        <v>14</v>
      </c>
      <c r="G47">
        <v>2340000</v>
      </c>
      <c r="H47">
        <v>27.6</v>
      </c>
      <c r="I47">
        <v>1500</v>
      </c>
      <c r="J47">
        <v>7</v>
      </c>
      <c r="K47" s="1">
        <v>12200</v>
      </c>
    </row>
    <row r="48" spans="1:11" x14ac:dyDescent="0.3">
      <c r="A48">
        <v>47</v>
      </c>
      <c r="B48" t="s">
        <v>21</v>
      </c>
      <c r="C48" t="s">
        <v>33</v>
      </c>
      <c r="D48">
        <v>2024</v>
      </c>
      <c r="E48" t="s">
        <v>17</v>
      </c>
      <c r="F48" t="s">
        <v>14</v>
      </c>
      <c r="G48">
        <v>550000</v>
      </c>
      <c r="H48">
        <v>23.3</v>
      </c>
      <c r="I48">
        <v>2000</v>
      </c>
      <c r="J48">
        <v>4</v>
      </c>
      <c r="K48" s="1">
        <v>14700</v>
      </c>
    </row>
    <row r="49" spans="1:11" x14ac:dyDescent="0.3">
      <c r="A49">
        <v>48</v>
      </c>
      <c r="B49" t="s">
        <v>21</v>
      </c>
      <c r="C49" t="s">
        <v>22</v>
      </c>
      <c r="D49">
        <v>2022</v>
      </c>
      <c r="E49" t="s">
        <v>20</v>
      </c>
      <c r="F49" t="s">
        <v>31</v>
      </c>
      <c r="G49">
        <v>960000</v>
      </c>
      <c r="H49">
        <v>20.7</v>
      </c>
      <c r="I49">
        <v>1000</v>
      </c>
      <c r="J49">
        <v>7</v>
      </c>
      <c r="K49" s="1">
        <v>21400</v>
      </c>
    </row>
    <row r="50" spans="1:11" x14ac:dyDescent="0.3">
      <c r="A50">
        <v>49</v>
      </c>
      <c r="B50" t="s">
        <v>27</v>
      </c>
      <c r="C50" t="s">
        <v>56</v>
      </c>
      <c r="D50">
        <v>2021</v>
      </c>
      <c r="E50" t="s">
        <v>17</v>
      </c>
      <c r="F50" t="s">
        <v>14</v>
      </c>
      <c r="G50">
        <v>450000</v>
      </c>
      <c r="H50">
        <v>14</v>
      </c>
      <c r="I50">
        <v>1200</v>
      </c>
      <c r="J50">
        <v>4</v>
      </c>
      <c r="K50" s="1">
        <v>8300</v>
      </c>
    </row>
    <row r="51" spans="1:11" x14ac:dyDescent="0.3">
      <c r="A51">
        <v>50</v>
      </c>
      <c r="B51" t="s">
        <v>27</v>
      </c>
      <c r="C51" t="s">
        <v>57</v>
      </c>
      <c r="D51">
        <v>2020</v>
      </c>
      <c r="E51" t="s">
        <v>20</v>
      </c>
      <c r="F51" t="s">
        <v>14</v>
      </c>
      <c r="G51">
        <v>3160000</v>
      </c>
      <c r="H51">
        <v>18.7</v>
      </c>
      <c r="I51">
        <v>1800</v>
      </c>
      <c r="J51">
        <v>6</v>
      </c>
      <c r="K51" s="1">
        <v>5500</v>
      </c>
    </row>
    <row r="52" spans="1:11" x14ac:dyDescent="0.3">
      <c r="A52">
        <v>51</v>
      </c>
      <c r="B52" t="s">
        <v>40</v>
      </c>
      <c r="C52" t="s">
        <v>58</v>
      </c>
      <c r="D52">
        <v>2015</v>
      </c>
      <c r="E52" t="s">
        <v>13</v>
      </c>
      <c r="F52" t="s">
        <v>31</v>
      </c>
      <c r="G52">
        <v>2900000</v>
      </c>
      <c r="H52">
        <v>13.5</v>
      </c>
      <c r="I52">
        <v>2500</v>
      </c>
      <c r="J52">
        <v>4</v>
      </c>
      <c r="K52" s="1">
        <v>23600</v>
      </c>
    </row>
    <row r="53" spans="1:11" x14ac:dyDescent="0.3">
      <c r="A53">
        <v>52</v>
      </c>
      <c r="B53" t="s">
        <v>15</v>
      </c>
      <c r="C53" t="s">
        <v>59</v>
      </c>
      <c r="D53">
        <v>2023</v>
      </c>
      <c r="E53" t="s">
        <v>24</v>
      </c>
      <c r="F53" t="s">
        <v>14</v>
      </c>
      <c r="G53">
        <v>1410000</v>
      </c>
      <c r="H53">
        <v>12.6</v>
      </c>
      <c r="I53">
        <v>2000</v>
      </c>
      <c r="J53">
        <v>5</v>
      </c>
      <c r="K53" s="1">
        <v>6800</v>
      </c>
    </row>
    <row r="54" spans="1:11" x14ac:dyDescent="0.3">
      <c r="A54">
        <v>53</v>
      </c>
      <c r="B54" t="s">
        <v>35</v>
      </c>
      <c r="C54" t="s">
        <v>60</v>
      </c>
      <c r="D54">
        <v>2019</v>
      </c>
      <c r="E54" t="s">
        <v>20</v>
      </c>
      <c r="F54" t="s">
        <v>31</v>
      </c>
      <c r="G54">
        <v>2480000</v>
      </c>
      <c r="H54">
        <v>22</v>
      </c>
      <c r="I54">
        <v>1200</v>
      </c>
      <c r="J54">
        <v>4</v>
      </c>
      <c r="K54" s="1">
        <v>23400</v>
      </c>
    </row>
    <row r="55" spans="1:11" x14ac:dyDescent="0.3">
      <c r="A55">
        <v>54</v>
      </c>
      <c r="B55" t="s">
        <v>15</v>
      </c>
      <c r="C55" t="s">
        <v>49</v>
      </c>
      <c r="D55">
        <v>2020</v>
      </c>
      <c r="E55" t="s">
        <v>17</v>
      </c>
      <c r="F55" t="s">
        <v>14</v>
      </c>
      <c r="G55">
        <v>1320000</v>
      </c>
      <c r="H55">
        <v>21</v>
      </c>
      <c r="I55">
        <v>1000</v>
      </c>
      <c r="J55">
        <v>6</v>
      </c>
      <c r="K55" s="1">
        <v>9100</v>
      </c>
    </row>
    <row r="56" spans="1:11" x14ac:dyDescent="0.3">
      <c r="A56">
        <v>55</v>
      </c>
      <c r="B56" t="s">
        <v>40</v>
      </c>
      <c r="C56" t="s">
        <v>41</v>
      </c>
      <c r="D56">
        <v>2023</v>
      </c>
      <c r="E56" t="s">
        <v>24</v>
      </c>
      <c r="F56" t="s">
        <v>31</v>
      </c>
      <c r="G56">
        <v>430000</v>
      </c>
      <c r="H56">
        <v>22.9</v>
      </c>
      <c r="I56">
        <v>1500</v>
      </c>
      <c r="J56">
        <v>6</v>
      </c>
      <c r="K56" s="1">
        <v>18600</v>
      </c>
    </row>
    <row r="57" spans="1:11" x14ac:dyDescent="0.3">
      <c r="A57">
        <v>56</v>
      </c>
      <c r="B57" t="s">
        <v>11</v>
      </c>
      <c r="C57" t="s">
        <v>12</v>
      </c>
      <c r="D57">
        <v>2023</v>
      </c>
      <c r="E57" t="s">
        <v>24</v>
      </c>
      <c r="F57" t="s">
        <v>14</v>
      </c>
      <c r="G57">
        <v>3410000</v>
      </c>
      <c r="H57">
        <v>24</v>
      </c>
      <c r="I57">
        <v>1500</v>
      </c>
      <c r="J57">
        <v>5</v>
      </c>
      <c r="K57" s="1">
        <v>16500</v>
      </c>
    </row>
    <row r="58" spans="1:11" x14ac:dyDescent="0.3">
      <c r="A58">
        <v>57</v>
      </c>
      <c r="B58" t="s">
        <v>11</v>
      </c>
      <c r="C58" t="s">
        <v>12</v>
      </c>
      <c r="D58">
        <v>2018</v>
      </c>
      <c r="E58" t="s">
        <v>24</v>
      </c>
      <c r="F58" t="s">
        <v>14</v>
      </c>
      <c r="G58">
        <v>890000</v>
      </c>
      <c r="H58">
        <v>24.7</v>
      </c>
      <c r="I58">
        <v>1200</v>
      </c>
      <c r="J58">
        <v>7</v>
      </c>
      <c r="K58" s="1">
        <v>8400</v>
      </c>
    </row>
    <row r="59" spans="1:11" x14ac:dyDescent="0.3">
      <c r="A59">
        <v>58</v>
      </c>
      <c r="B59" t="s">
        <v>35</v>
      </c>
      <c r="C59" t="s">
        <v>61</v>
      </c>
      <c r="D59">
        <v>2015</v>
      </c>
      <c r="E59" t="s">
        <v>24</v>
      </c>
      <c r="F59" t="s">
        <v>31</v>
      </c>
      <c r="G59">
        <v>1860000</v>
      </c>
      <c r="H59">
        <v>25.1</v>
      </c>
      <c r="I59">
        <v>2000</v>
      </c>
      <c r="J59">
        <v>7</v>
      </c>
      <c r="K59" s="1">
        <v>23800</v>
      </c>
    </row>
    <row r="60" spans="1:11" x14ac:dyDescent="0.3">
      <c r="A60">
        <v>59</v>
      </c>
      <c r="B60" t="s">
        <v>40</v>
      </c>
      <c r="C60" t="s">
        <v>54</v>
      </c>
      <c r="D60">
        <v>2016</v>
      </c>
      <c r="E60" t="s">
        <v>17</v>
      </c>
      <c r="F60" t="s">
        <v>31</v>
      </c>
      <c r="G60">
        <v>3070000</v>
      </c>
      <c r="H60">
        <v>11.6</v>
      </c>
      <c r="I60">
        <v>1800</v>
      </c>
      <c r="J60">
        <v>5</v>
      </c>
      <c r="K60" s="1">
        <v>23000</v>
      </c>
    </row>
    <row r="61" spans="1:11" x14ac:dyDescent="0.3">
      <c r="A61">
        <v>60</v>
      </c>
      <c r="B61" t="s">
        <v>11</v>
      </c>
      <c r="C61" t="s">
        <v>44</v>
      </c>
      <c r="D61">
        <v>2016</v>
      </c>
      <c r="E61" t="s">
        <v>17</v>
      </c>
      <c r="F61" t="s">
        <v>14</v>
      </c>
      <c r="G61">
        <v>690000</v>
      </c>
      <c r="H61">
        <v>26.5</v>
      </c>
      <c r="I61">
        <v>1200</v>
      </c>
      <c r="J61">
        <v>4</v>
      </c>
      <c r="K61" s="1">
        <v>21400</v>
      </c>
    </row>
    <row r="62" spans="1:11" x14ac:dyDescent="0.3">
      <c r="A62">
        <v>61</v>
      </c>
      <c r="B62" t="s">
        <v>52</v>
      </c>
      <c r="C62" t="s">
        <v>62</v>
      </c>
      <c r="D62">
        <v>2024</v>
      </c>
      <c r="E62" t="s">
        <v>20</v>
      </c>
      <c r="F62" t="s">
        <v>31</v>
      </c>
      <c r="G62">
        <v>2830000</v>
      </c>
      <c r="H62">
        <v>17.2</v>
      </c>
      <c r="I62">
        <v>800</v>
      </c>
      <c r="J62">
        <v>5</v>
      </c>
      <c r="K62" s="1">
        <v>14500</v>
      </c>
    </row>
    <row r="63" spans="1:11" x14ac:dyDescent="0.3">
      <c r="A63">
        <v>62</v>
      </c>
      <c r="B63" t="s">
        <v>37</v>
      </c>
      <c r="C63" t="s">
        <v>55</v>
      </c>
      <c r="D63">
        <v>2020</v>
      </c>
      <c r="E63" t="s">
        <v>17</v>
      </c>
      <c r="F63" t="s">
        <v>14</v>
      </c>
      <c r="G63">
        <v>3370000</v>
      </c>
      <c r="H63">
        <v>11.1</v>
      </c>
      <c r="I63">
        <v>800</v>
      </c>
      <c r="J63">
        <v>7</v>
      </c>
      <c r="K63" s="1">
        <v>11100</v>
      </c>
    </row>
    <row r="64" spans="1:11" x14ac:dyDescent="0.3">
      <c r="A64">
        <v>63</v>
      </c>
      <c r="B64" t="s">
        <v>35</v>
      </c>
      <c r="C64" t="s">
        <v>36</v>
      </c>
      <c r="D64">
        <v>2016</v>
      </c>
      <c r="E64" t="s">
        <v>13</v>
      </c>
      <c r="F64" t="s">
        <v>31</v>
      </c>
      <c r="G64">
        <v>490000</v>
      </c>
      <c r="H64">
        <v>29.5</v>
      </c>
      <c r="I64">
        <v>1500</v>
      </c>
      <c r="J64">
        <v>4</v>
      </c>
      <c r="K64" s="1">
        <v>5300</v>
      </c>
    </row>
    <row r="65" spans="1:11" x14ac:dyDescent="0.3">
      <c r="A65">
        <v>64</v>
      </c>
      <c r="B65" t="s">
        <v>15</v>
      </c>
      <c r="C65" t="s">
        <v>49</v>
      </c>
      <c r="D65">
        <v>2022</v>
      </c>
      <c r="E65" t="s">
        <v>24</v>
      </c>
      <c r="F65" t="s">
        <v>14</v>
      </c>
      <c r="G65">
        <v>2970000</v>
      </c>
      <c r="H65">
        <v>12.8</v>
      </c>
      <c r="I65">
        <v>1000</v>
      </c>
      <c r="J65">
        <v>6</v>
      </c>
      <c r="K65" s="1">
        <v>13100</v>
      </c>
    </row>
    <row r="66" spans="1:11" x14ac:dyDescent="0.3">
      <c r="A66">
        <v>65</v>
      </c>
      <c r="B66" t="s">
        <v>37</v>
      </c>
      <c r="C66" t="s">
        <v>55</v>
      </c>
      <c r="D66">
        <v>2018</v>
      </c>
      <c r="E66" t="s">
        <v>20</v>
      </c>
      <c r="F66" t="s">
        <v>14</v>
      </c>
      <c r="G66">
        <v>1780000</v>
      </c>
      <c r="H66">
        <v>13</v>
      </c>
      <c r="I66">
        <v>2500</v>
      </c>
      <c r="J66">
        <v>7</v>
      </c>
      <c r="K66" s="1">
        <v>17900</v>
      </c>
    </row>
    <row r="67" spans="1:11" x14ac:dyDescent="0.3">
      <c r="A67">
        <v>66</v>
      </c>
      <c r="B67" t="s">
        <v>15</v>
      </c>
      <c r="C67" t="s">
        <v>25</v>
      </c>
      <c r="D67">
        <v>2016</v>
      </c>
      <c r="E67" t="s">
        <v>17</v>
      </c>
      <c r="F67" t="s">
        <v>14</v>
      </c>
      <c r="G67">
        <v>2190000</v>
      </c>
      <c r="H67">
        <v>25.2</v>
      </c>
      <c r="I67">
        <v>1200</v>
      </c>
      <c r="J67">
        <v>5</v>
      </c>
      <c r="K67" s="1">
        <v>7100</v>
      </c>
    </row>
    <row r="68" spans="1:11" x14ac:dyDescent="0.3">
      <c r="A68">
        <v>67</v>
      </c>
      <c r="B68" t="s">
        <v>40</v>
      </c>
      <c r="C68" t="s">
        <v>43</v>
      </c>
      <c r="D68">
        <v>2020</v>
      </c>
      <c r="E68" t="s">
        <v>17</v>
      </c>
      <c r="F68" t="s">
        <v>14</v>
      </c>
      <c r="G68">
        <v>2300000</v>
      </c>
      <c r="H68">
        <v>22.6</v>
      </c>
      <c r="I68">
        <v>2500</v>
      </c>
      <c r="J68">
        <v>4</v>
      </c>
      <c r="K68" s="1">
        <v>11700</v>
      </c>
    </row>
    <row r="69" spans="1:11" x14ac:dyDescent="0.3">
      <c r="A69">
        <v>68</v>
      </c>
      <c r="B69" t="s">
        <v>15</v>
      </c>
      <c r="C69" t="s">
        <v>25</v>
      </c>
      <c r="D69">
        <v>2020</v>
      </c>
      <c r="E69" t="s">
        <v>17</v>
      </c>
      <c r="F69" t="s">
        <v>31</v>
      </c>
      <c r="G69">
        <v>2650000</v>
      </c>
      <c r="H69">
        <v>11.4</v>
      </c>
      <c r="I69">
        <v>1200</v>
      </c>
      <c r="J69">
        <v>6</v>
      </c>
      <c r="K69" s="1">
        <v>24700</v>
      </c>
    </row>
    <row r="70" spans="1:11" x14ac:dyDescent="0.3">
      <c r="A70">
        <v>69</v>
      </c>
      <c r="B70" t="s">
        <v>52</v>
      </c>
      <c r="C70" t="s">
        <v>63</v>
      </c>
      <c r="D70">
        <v>2021</v>
      </c>
      <c r="E70" t="s">
        <v>24</v>
      </c>
      <c r="F70" t="s">
        <v>31</v>
      </c>
      <c r="G70">
        <v>1680000</v>
      </c>
      <c r="H70">
        <v>24.1</v>
      </c>
      <c r="I70">
        <v>2500</v>
      </c>
      <c r="J70">
        <v>6</v>
      </c>
      <c r="K70" s="1">
        <v>24000</v>
      </c>
    </row>
    <row r="71" spans="1:11" x14ac:dyDescent="0.3">
      <c r="A71">
        <v>70</v>
      </c>
      <c r="B71" t="s">
        <v>40</v>
      </c>
      <c r="C71" t="s">
        <v>64</v>
      </c>
      <c r="D71">
        <v>2015</v>
      </c>
      <c r="E71" t="s">
        <v>24</v>
      </c>
      <c r="F71" t="s">
        <v>31</v>
      </c>
      <c r="G71">
        <v>1700000</v>
      </c>
      <c r="H71">
        <v>15.8</v>
      </c>
      <c r="I71">
        <v>800</v>
      </c>
      <c r="J71">
        <v>4</v>
      </c>
      <c r="K71" s="1">
        <v>23500</v>
      </c>
    </row>
    <row r="72" spans="1:11" x14ac:dyDescent="0.3">
      <c r="A72">
        <v>71</v>
      </c>
      <c r="B72" t="s">
        <v>11</v>
      </c>
      <c r="C72" t="s">
        <v>26</v>
      </c>
      <c r="D72">
        <v>2023</v>
      </c>
      <c r="E72" t="s">
        <v>17</v>
      </c>
      <c r="F72" t="s">
        <v>31</v>
      </c>
      <c r="G72">
        <v>1630000</v>
      </c>
      <c r="H72">
        <v>27.1</v>
      </c>
      <c r="I72">
        <v>800</v>
      </c>
      <c r="J72">
        <v>4</v>
      </c>
      <c r="K72" s="1">
        <v>17700</v>
      </c>
    </row>
    <row r="73" spans="1:11" x14ac:dyDescent="0.3">
      <c r="A73">
        <v>72</v>
      </c>
      <c r="B73" t="s">
        <v>52</v>
      </c>
      <c r="C73" t="s">
        <v>65</v>
      </c>
      <c r="D73">
        <v>2020</v>
      </c>
      <c r="E73" t="s">
        <v>24</v>
      </c>
      <c r="F73" t="s">
        <v>14</v>
      </c>
      <c r="G73">
        <v>1720000</v>
      </c>
      <c r="H73">
        <v>23</v>
      </c>
      <c r="I73">
        <v>2500</v>
      </c>
      <c r="J73">
        <v>6</v>
      </c>
      <c r="K73" s="1">
        <v>21900</v>
      </c>
    </row>
    <row r="74" spans="1:11" x14ac:dyDescent="0.3">
      <c r="A74">
        <v>73</v>
      </c>
      <c r="B74" t="s">
        <v>21</v>
      </c>
      <c r="C74" t="s">
        <v>66</v>
      </c>
      <c r="D74">
        <v>2021</v>
      </c>
      <c r="E74" t="s">
        <v>24</v>
      </c>
      <c r="F74" t="s">
        <v>31</v>
      </c>
      <c r="G74">
        <v>940000</v>
      </c>
      <c r="H74">
        <v>25.7</v>
      </c>
      <c r="I74">
        <v>1500</v>
      </c>
      <c r="J74">
        <v>4</v>
      </c>
      <c r="K74" s="1">
        <v>9900</v>
      </c>
    </row>
    <row r="75" spans="1:11" x14ac:dyDescent="0.3">
      <c r="A75">
        <v>74</v>
      </c>
      <c r="B75" t="s">
        <v>35</v>
      </c>
      <c r="C75" t="s">
        <v>61</v>
      </c>
      <c r="D75">
        <v>2022</v>
      </c>
      <c r="E75" t="s">
        <v>17</v>
      </c>
      <c r="F75" t="s">
        <v>14</v>
      </c>
      <c r="G75">
        <v>3090000</v>
      </c>
      <c r="H75">
        <v>26.2</v>
      </c>
      <c r="I75">
        <v>1500</v>
      </c>
      <c r="J75">
        <v>6</v>
      </c>
      <c r="K75" s="1">
        <v>15800</v>
      </c>
    </row>
    <row r="76" spans="1:11" x14ac:dyDescent="0.3">
      <c r="A76">
        <v>75</v>
      </c>
      <c r="B76" t="s">
        <v>11</v>
      </c>
      <c r="C76" t="s">
        <v>26</v>
      </c>
      <c r="D76">
        <v>2016</v>
      </c>
      <c r="E76" t="s">
        <v>17</v>
      </c>
      <c r="F76" t="s">
        <v>14</v>
      </c>
      <c r="G76">
        <v>3260000</v>
      </c>
      <c r="H76">
        <v>10.199999999999999</v>
      </c>
      <c r="I76">
        <v>1000</v>
      </c>
      <c r="J76">
        <v>4</v>
      </c>
      <c r="K76" s="1">
        <v>6300</v>
      </c>
    </row>
    <row r="77" spans="1:11" x14ac:dyDescent="0.3">
      <c r="A77">
        <v>76</v>
      </c>
      <c r="B77" t="s">
        <v>35</v>
      </c>
      <c r="C77" t="s">
        <v>67</v>
      </c>
      <c r="D77">
        <v>2022</v>
      </c>
      <c r="E77" t="s">
        <v>20</v>
      </c>
      <c r="F77" t="s">
        <v>31</v>
      </c>
      <c r="G77">
        <v>2150000</v>
      </c>
      <c r="H77">
        <v>13</v>
      </c>
      <c r="I77">
        <v>1800</v>
      </c>
      <c r="J77">
        <v>6</v>
      </c>
      <c r="K77" s="1">
        <v>5300</v>
      </c>
    </row>
    <row r="78" spans="1:11" x14ac:dyDescent="0.3">
      <c r="A78">
        <v>77</v>
      </c>
      <c r="B78" t="s">
        <v>37</v>
      </c>
      <c r="C78" t="s">
        <v>38</v>
      </c>
      <c r="D78">
        <v>2019</v>
      </c>
      <c r="E78" t="s">
        <v>20</v>
      </c>
      <c r="F78" t="s">
        <v>14</v>
      </c>
      <c r="G78">
        <v>1720000</v>
      </c>
      <c r="H78">
        <v>17.3</v>
      </c>
      <c r="I78">
        <v>2000</v>
      </c>
      <c r="J78">
        <v>5</v>
      </c>
      <c r="K78" s="1">
        <v>6900</v>
      </c>
    </row>
    <row r="79" spans="1:11" x14ac:dyDescent="0.3">
      <c r="A79">
        <v>78</v>
      </c>
      <c r="B79" t="s">
        <v>52</v>
      </c>
      <c r="C79" t="s">
        <v>68</v>
      </c>
      <c r="D79">
        <v>2018</v>
      </c>
      <c r="E79" t="s">
        <v>17</v>
      </c>
      <c r="F79" t="s">
        <v>31</v>
      </c>
      <c r="G79">
        <v>2070000</v>
      </c>
      <c r="H79">
        <v>15.5</v>
      </c>
      <c r="I79">
        <v>2500</v>
      </c>
      <c r="J79">
        <v>5</v>
      </c>
      <c r="K79" s="1">
        <v>19700</v>
      </c>
    </row>
    <row r="80" spans="1:11" x14ac:dyDescent="0.3">
      <c r="A80">
        <v>79</v>
      </c>
      <c r="B80" t="s">
        <v>21</v>
      </c>
      <c r="C80" t="s">
        <v>33</v>
      </c>
      <c r="D80">
        <v>2024</v>
      </c>
      <c r="E80" t="s">
        <v>17</v>
      </c>
      <c r="F80" t="s">
        <v>31</v>
      </c>
      <c r="G80">
        <v>2040000</v>
      </c>
      <c r="H80">
        <v>27.6</v>
      </c>
      <c r="I80">
        <v>2500</v>
      </c>
      <c r="J80">
        <v>5</v>
      </c>
      <c r="K80" s="1">
        <v>14700</v>
      </c>
    </row>
    <row r="81" spans="1:11" x14ac:dyDescent="0.3">
      <c r="A81">
        <v>80</v>
      </c>
      <c r="B81" t="s">
        <v>37</v>
      </c>
      <c r="C81" t="s">
        <v>47</v>
      </c>
      <c r="D81">
        <v>2018</v>
      </c>
      <c r="E81" t="s">
        <v>13</v>
      </c>
      <c r="F81" t="s">
        <v>14</v>
      </c>
      <c r="G81">
        <v>1990000</v>
      </c>
      <c r="H81">
        <v>19.899999999999999</v>
      </c>
      <c r="I81">
        <v>800</v>
      </c>
      <c r="J81">
        <v>6</v>
      </c>
      <c r="K81" s="1">
        <v>21600</v>
      </c>
    </row>
    <row r="82" spans="1:11" x14ac:dyDescent="0.3">
      <c r="A82">
        <v>81</v>
      </c>
      <c r="B82" t="s">
        <v>40</v>
      </c>
      <c r="C82" t="s">
        <v>58</v>
      </c>
      <c r="D82">
        <v>2020</v>
      </c>
      <c r="E82" t="s">
        <v>17</v>
      </c>
      <c r="F82" t="s">
        <v>31</v>
      </c>
      <c r="G82">
        <v>820000</v>
      </c>
      <c r="H82">
        <v>28.7</v>
      </c>
      <c r="I82">
        <v>2500</v>
      </c>
      <c r="J82">
        <v>5</v>
      </c>
      <c r="K82" s="1">
        <v>11700</v>
      </c>
    </row>
    <row r="83" spans="1:11" x14ac:dyDescent="0.3">
      <c r="A83">
        <v>82</v>
      </c>
      <c r="B83" t="s">
        <v>27</v>
      </c>
      <c r="C83" t="s">
        <v>28</v>
      </c>
      <c r="D83">
        <v>2020</v>
      </c>
      <c r="E83" t="s">
        <v>17</v>
      </c>
      <c r="F83" t="s">
        <v>14</v>
      </c>
      <c r="G83">
        <v>1080000</v>
      </c>
      <c r="H83">
        <v>14.3</v>
      </c>
      <c r="I83">
        <v>1800</v>
      </c>
      <c r="J83">
        <v>4</v>
      </c>
      <c r="K83" s="1">
        <v>24200</v>
      </c>
    </row>
    <row r="84" spans="1:11" x14ac:dyDescent="0.3">
      <c r="A84">
        <v>83</v>
      </c>
      <c r="B84" t="s">
        <v>18</v>
      </c>
      <c r="C84" t="s">
        <v>51</v>
      </c>
      <c r="D84">
        <v>2017</v>
      </c>
      <c r="E84" t="s">
        <v>20</v>
      </c>
      <c r="F84" t="s">
        <v>31</v>
      </c>
      <c r="G84">
        <v>1510000</v>
      </c>
      <c r="H84">
        <v>12</v>
      </c>
      <c r="I84">
        <v>1000</v>
      </c>
      <c r="J84">
        <v>4</v>
      </c>
      <c r="K84" s="1">
        <v>14200</v>
      </c>
    </row>
    <row r="85" spans="1:11" x14ac:dyDescent="0.3">
      <c r="A85">
        <v>84</v>
      </c>
      <c r="B85" t="s">
        <v>11</v>
      </c>
      <c r="C85" t="s">
        <v>69</v>
      </c>
      <c r="D85">
        <v>2022</v>
      </c>
      <c r="E85" t="s">
        <v>17</v>
      </c>
      <c r="F85" t="s">
        <v>31</v>
      </c>
      <c r="G85">
        <v>850000</v>
      </c>
      <c r="H85">
        <v>15.3</v>
      </c>
      <c r="I85">
        <v>1800</v>
      </c>
      <c r="J85">
        <v>5</v>
      </c>
      <c r="K85" s="1">
        <v>10200</v>
      </c>
    </row>
    <row r="86" spans="1:11" x14ac:dyDescent="0.3">
      <c r="A86">
        <v>85</v>
      </c>
      <c r="B86" t="s">
        <v>40</v>
      </c>
      <c r="C86" t="s">
        <v>41</v>
      </c>
      <c r="D86">
        <v>2021</v>
      </c>
      <c r="E86" t="s">
        <v>24</v>
      </c>
      <c r="F86" t="s">
        <v>31</v>
      </c>
      <c r="G86">
        <v>1450000</v>
      </c>
      <c r="H86">
        <v>27.6</v>
      </c>
      <c r="I86">
        <v>1000</v>
      </c>
      <c r="J86">
        <v>5</v>
      </c>
      <c r="K86" s="1">
        <v>16700</v>
      </c>
    </row>
    <row r="87" spans="1:11" x14ac:dyDescent="0.3">
      <c r="A87">
        <v>86</v>
      </c>
      <c r="B87" t="s">
        <v>15</v>
      </c>
      <c r="C87" t="s">
        <v>49</v>
      </c>
      <c r="D87">
        <v>2022</v>
      </c>
      <c r="E87" t="s">
        <v>20</v>
      </c>
      <c r="F87" t="s">
        <v>31</v>
      </c>
      <c r="G87">
        <v>1930000</v>
      </c>
      <c r="H87">
        <v>19.7</v>
      </c>
      <c r="I87">
        <v>2000</v>
      </c>
      <c r="J87">
        <v>5</v>
      </c>
      <c r="K87" s="1">
        <v>18300</v>
      </c>
    </row>
    <row r="88" spans="1:11" x14ac:dyDescent="0.3">
      <c r="A88">
        <v>87</v>
      </c>
      <c r="B88" t="s">
        <v>15</v>
      </c>
      <c r="C88" t="s">
        <v>16</v>
      </c>
      <c r="D88">
        <v>2016</v>
      </c>
      <c r="E88" t="s">
        <v>17</v>
      </c>
      <c r="F88" t="s">
        <v>31</v>
      </c>
      <c r="G88">
        <v>1310000</v>
      </c>
      <c r="H88">
        <v>11.9</v>
      </c>
      <c r="I88">
        <v>2000</v>
      </c>
      <c r="J88">
        <v>6</v>
      </c>
      <c r="K88" s="1">
        <v>22700</v>
      </c>
    </row>
    <row r="89" spans="1:11" x14ac:dyDescent="0.3">
      <c r="A89">
        <v>88</v>
      </c>
      <c r="B89" t="s">
        <v>29</v>
      </c>
      <c r="C89" t="s">
        <v>30</v>
      </c>
      <c r="D89">
        <v>2016</v>
      </c>
      <c r="E89" t="s">
        <v>13</v>
      </c>
      <c r="F89" t="s">
        <v>14</v>
      </c>
      <c r="G89">
        <v>520000</v>
      </c>
      <c r="H89">
        <v>26.4</v>
      </c>
      <c r="I89">
        <v>1800</v>
      </c>
      <c r="J89">
        <v>5</v>
      </c>
      <c r="K89" s="1">
        <v>14600</v>
      </c>
    </row>
    <row r="90" spans="1:11" x14ac:dyDescent="0.3">
      <c r="A90">
        <v>89</v>
      </c>
      <c r="B90" t="s">
        <v>11</v>
      </c>
      <c r="C90" t="s">
        <v>39</v>
      </c>
      <c r="D90">
        <v>2016</v>
      </c>
      <c r="E90" t="s">
        <v>13</v>
      </c>
      <c r="F90" t="s">
        <v>14</v>
      </c>
      <c r="G90">
        <v>2560000</v>
      </c>
      <c r="H90">
        <v>29.3</v>
      </c>
      <c r="I90">
        <v>1000</v>
      </c>
      <c r="J90">
        <v>4</v>
      </c>
      <c r="K90" s="1">
        <v>22900</v>
      </c>
    </row>
    <row r="91" spans="1:11" x14ac:dyDescent="0.3">
      <c r="A91">
        <v>90</v>
      </c>
      <c r="B91" t="s">
        <v>52</v>
      </c>
      <c r="C91" t="s">
        <v>68</v>
      </c>
      <c r="D91">
        <v>2017</v>
      </c>
      <c r="E91" t="s">
        <v>20</v>
      </c>
      <c r="F91" t="s">
        <v>31</v>
      </c>
      <c r="G91">
        <v>1790000</v>
      </c>
      <c r="H91">
        <v>10.5</v>
      </c>
      <c r="I91">
        <v>1800</v>
      </c>
      <c r="J91">
        <v>7</v>
      </c>
      <c r="K91" s="1">
        <v>8800</v>
      </c>
    </row>
    <row r="92" spans="1:11" x14ac:dyDescent="0.3">
      <c r="A92">
        <v>91</v>
      </c>
      <c r="B92" t="s">
        <v>27</v>
      </c>
      <c r="C92" t="s">
        <v>70</v>
      </c>
      <c r="D92">
        <v>2018</v>
      </c>
      <c r="E92" t="s">
        <v>24</v>
      </c>
      <c r="F92" t="s">
        <v>14</v>
      </c>
      <c r="G92">
        <v>1770000</v>
      </c>
      <c r="H92">
        <v>13.6</v>
      </c>
      <c r="I92">
        <v>1200</v>
      </c>
      <c r="J92">
        <v>5</v>
      </c>
      <c r="K92" s="1">
        <v>18000</v>
      </c>
    </row>
    <row r="93" spans="1:11" x14ac:dyDescent="0.3">
      <c r="A93">
        <v>92</v>
      </c>
      <c r="B93" t="s">
        <v>52</v>
      </c>
      <c r="C93" t="s">
        <v>68</v>
      </c>
      <c r="D93">
        <v>2015</v>
      </c>
      <c r="E93" t="s">
        <v>17</v>
      </c>
      <c r="F93" t="s">
        <v>14</v>
      </c>
      <c r="G93">
        <v>2750000</v>
      </c>
      <c r="H93">
        <v>22.6</v>
      </c>
      <c r="I93">
        <v>1000</v>
      </c>
      <c r="J93">
        <v>4</v>
      </c>
      <c r="K93" s="1">
        <v>18900</v>
      </c>
    </row>
    <row r="94" spans="1:11" x14ac:dyDescent="0.3">
      <c r="A94">
        <v>93</v>
      </c>
      <c r="B94" t="s">
        <v>27</v>
      </c>
      <c r="C94" t="s">
        <v>28</v>
      </c>
      <c r="D94">
        <v>2021</v>
      </c>
      <c r="E94" t="s">
        <v>13</v>
      </c>
      <c r="F94" t="s">
        <v>14</v>
      </c>
      <c r="G94">
        <v>3240000</v>
      </c>
      <c r="H94">
        <v>24.1</v>
      </c>
      <c r="I94">
        <v>1000</v>
      </c>
      <c r="J94">
        <v>4</v>
      </c>
      <c r="K94" s="1">
        <v>10400</v>
      </c>
    </row>
    <row r="95" spans="1:11" x14ac:dyDescent="0.3">
      <c r="A95">
        <v>94</v>
      </c>
      <c r="B95" t="s">
        <v>37</v>
      </c>
      <c r="C95" t="s">
        <v>55</v>
      </c>
      <c r="D95">
        <v>2023</v>
      </c>
      <c r="E95" t="s">
        <v>24</v>
      </c>
      <c r="F95" t="s">
        <v>31</v>
      </c>
      <c r="G95">
        <v>1210000</v>
      </c>
      <c r="H95">
        <v>20.8</v>
      </c>
      <c r="I95">
        <v>2000</v>
      </c>
      <c r="J95">
        <v>7</v>
      </c>
      <c r="K95" s="1">
        <v>9000</v>
      </c>
    </row>
    <row r="96" spans="1:11" x14ac:dyDescent="0.3">
      <c r="A96">
        <v>95</v>
      </c>
      <c r="B96" t="s">
        <v>11</v>
      </c>
      <c r="C96" t="s">
        <v>12</v>
      </c>
      <c r="D96">
        <v>2018</v>
      </c>
      <c r="E96" t="s">
        <v>24</v>
      </c>
      <c r="F96" t="s">
        <v>14</v>
      </c>
      <c r="G96">
        <v>2360000</v>
      </c>
      <c r="H96">
        <v>20.2</v>
      </c>
      <c r="I96">
        <v>800</v>
      </c>
      <c r="J96">
        <v>5</v>
      </c>
      <c r="K96" s="1">
        <v>13000</v>
      </c>
    </row>
    <row r="97" spans="1:11" x14ac:dyDescent="0.3">
      <c r="A97">
        <v>96</v>
      </c>
      <c r="B97" t="s">
        <v>27</v>
      </c>
      <c r="C97" t="s">
        <v>50</v>
      </c>
      <c r="D97">
        <v>2018</v>
      </c>
      <c r="E97" t="s">
        <v>13</v>
      </c>
      <c r="F97" t="s">
        <v>14</v>
      </c>
      <c r="G97">
        <v>3300000</v>
      </c>
      <c r="H97">
        <v>10.6</v>
      </c>
      <c r="I97">
        <v>1500</v>
      </c>
      <c r="J97">
        <v>6</v>
      </c>
      <c r="K97" s="1">
        <v>24200</v>
      </c>
    </row>
    <row r="98" spans="1:11" x14ac:dyDescent="0.3">
      <c r="A98">
        <v>97</v>
      </c>
      <c r="B98" t="s">
        <v>21</v>
      </c>
      <c r="C98" t="s">
        <v>33</v>
      </c>
      <c r="D98">
        <v>2017</v>
      </c>
      <c r="E98" t="s">
        <v>13</v>
      </c>
      <c r="F98" t="s">
        <v>31</v>
      </c>
      <c r="G98">
        <v>1610000</v>
      </c>
      <c r="H98">
        <v>18.2</v>
      </c>
      <c r="I98">
        <v>800</v>
      </c>
      <c r="J98">
        <v>4</v>
      </c>
      <c r="K98" s="1">
        <v>23600</v>
      </c>
    </row>
    <row r="99" spans="1:11" x14ac:dyDescent="0.3">
      <c r="A99">
        <v>98</v>
      </c>
      <c r="B99" t="s">
        <v>18</v>
      </c>
      <c r="C99" t="s">
        <v>71</v>
      </c>
      <c r="D99">
        <v>2020</v>
      </c>
      <c r="E99" t="s">
        <v>17</v>
      </c>
      <c r="F99" t="s">
        <v>14</v>
      </c>
      <c r="G99">
        <v>1370000</v>
      </c>
      <c r="H99">
        <v>26</v>
      </c>
      <c r="I99">
        <v>1200</v>
      </c>
      <c r="J99">
        <v>7</v>
      </c>
      <c r="K99" s="1">
        <v>13400</v>
      </c>
    </row>
    <row r="100" spans="1:11" x14ac:dyDescent="0.3">
      <c r="A100">
        <v>99</v>
      </c>
      <c r="B100" t="s">
        <v>52</v>
      </c>
      <c r="C100" t="s">
        <v>53</v>
      </c>
      <c r="D100">
        <v>2017</v>
      </c>
      <c r="E100" t="s">
        <v>17</v>
      </c>
      <c r="F100" t="s">
        <v>31</v>
      </c>
      <c r="G100">
        <v>3320000</v>
      </c>
      <c r="H100">
        <v>16.600000000000001</v>
      </c>
      <c r="I100">
        <v>1000</v>
      </c>
      <c r="J100">
        <v>6</v>
      </c>
      <c r="K100" s="1">
        <v>10300</v>
      </c>
    </row>
    <row r="101" spans="1:11" x14ac:dyDescent="0.3">
      <c r="A101">
        <v>100</v>
      </c>
      <c r="B101" t="s">
        <v>52</v>
      </c>
      <c r="C101" t="s">
        <v>65</v>
      </c>
      <c r="D101">
        <v>2020</v>
      </c>
      <c r="E101" t="s">
        <v>24</v>
      </c>
      <c r="F101" t="s">
        <v>31</v>
      </c>
      <c r="G101">
        <v>2470000</v>
      </c>
      <c r="H101">
        <v>14.2</v>
      </c>
      <c r="I101">
        <v>1000</v>
      </c>
      <c r="J101">
        <v>5</v>
      </c>
      <c r="K101" s="1">
        <v>23100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FFA59-178B-4D7B-A695-D4927FFDEBF9}">
  <dimension ref="A1:Y52"/>
  <sheetViews>
    <sheetView topLeftCell="A10" zoomScale="140" zoomScaleNormal="140" workbookViewId="0">
      <selection activeCell="F7" sqref="F7"/>
    </sheetView>
  </sheetViews>
  <sheetFormatPr defaultRowHeight="14.4" x14ac:dyDescent="0.3"/>
  <cols>
    <col min="1" max="1" width="11.109375" bestFit="1" customWidth="1"/>
    <col min="2" max="2" width="14.33203125" bestFit="1" customWidth="1"/>
    <col min="3" max="3" width="15.77734375" bestFit="1" customWidth="1"/>
    <col min="4" max="4" width="12" bestFit="1" customWidth="1"/>
    <col min="5" max="5" width="14" bestFit="1" customWidth="1"/>
    <col min="6" max="6" width="13.5546875" bestFit="1" customWidth="1"/>
    <col min="7" max="7" width="14.21875" bestFit="1" customWidth="1"/>
    <col min="8" max="8" width="18.5546875" bestFit="1" customWidth="1"/>
    <col min="9" max="9" width="10.5546875" bestFit="1" customWidth="1"/>
    <col min="10" max="10" width="10.77734375" bestFit="1" customWidth="1"/>
    <col min="11" max="11" width="13.88671875" bestFit="1" customWidth="1"/>
    <col min="12" max="12" width="7.21875" bestFit="1" customWidth="1"/>
    <col min="13" max="13" width="10.77734375" bestFit="1" customWidth="1"/>
    <col min="14" max="14" width="16.88671875" bestFit="1" customWidth="1"/>
    <col min="15" max="15" width="12.21875" bestFit="1" customWidth="1"/>
    <col min="16" max="16" width="7.33203125" bestFit="1" customWidth="1"/>
    <col min="17" max="17" width="6.21875" bestFit="1" customWidth="1"/>
    <col min="18" max="18" width="10.5546875" bestFit="1" customWidth="1"/>
    <col min="19" max="19" width="6.44140625" bestFit="1" customWidth="1"/>
    <col min="20" max="20" width="10.77734375" bestFit="1" customWidth="1"/>
    <col min="21" max="21" width="10.5546875" bestFit="1" customWidth="1"/>
    <col min="22" max="22" width="7.109375" bestFit="1" customWidth="1"/>
    <col min="23" max="23" width="5.77734375" bestFit="1" customWidth="1"/>
    <col min="24" max="24" width="6.21875" bestFit="1" customWidth="1"/>
    <col min="25" max="25" width="7.44140625" bestFit="1" customWidth="1"/>
    <col min="26" max="26" width="4.6640625" bestFit="1" customWidth="1"/>
    <col min="27" max="27" width="6.109375" bestFit="1" customWidth="1"/>
    <col min="28" max="28" width="5.88671875" bestFit="1" customWidth="1"/>
    <col min="29" max="29" width="7.44140625" bestFit="1" customWidth="1"/>
    <col min="30" max="30" width="6.21875" bestFit="1" customWidth="1"/>
    <col min="31" max="31" width="6.109375" bestFit="1" customWidth="1"/>
    <col min="32" max="32" width="5.77734375" bestFit="1" customWidth="1"/>
    <col min="33" max="33" width="7" bestFit="1" customWidth="1"/>
    <col min="34" max="34" width="5.21875" bestFit="1" customWidth="1"/>
    <col min="35" max="35" width="6.33203125" bestFit="1" customWidth="1"/>
    <col min="36" max="36" width="4.5546875" bestFit="1" customWidth="1"/>
    <col min="37" max="37" width="5.33203125" bestFit="1" customWidth="1"/>
    <col min="38" max="38" width="6.33203125" bestFit="1" customWidth="1"/>
    <col min="39" max="39" width="12.33203125" bestFit="1" customWidth="1"/>
    <col min="40" max="40" width="5.77734375" bestFit="1" customWidth="1"/>
    <col min="41" max="41" width="6.109375" bestFit="1" customWidth="1"/>
    <col min="42" max="42" width="5.77734375" bestFit="1" customWidth="1"/>
    <col min="43" max="43" width="5.88671875" bestFit="1" customWidth="1"/>
    <col min="44" max="44" width="5.5546875" bestFit="1" customWidth="1"/>
    <col min="45" max="46" width="7.44140625" bestFit="1" customWidth="1"/>
    <col min="47" max="47" width="10.5546875" bestFit="1" customWidth="1"/>
  </cols>
  <sheetData>
    <row r="1" spans="1:14" x14ac:dyDescent="0.3">
      <c r="A1" s="4"/>
    </row>
    <row r="2" spans="1:14" x14ac:dyDescent="0.3">
      <c r="G2" s="6" t="s">
        <v>81</v>
      </c>
      <c r="H2" t="s">
        <v>82</v>
      </c>
      <c r="J2" s="6" t="s">
        <v>3</v>
      </c>
      <c r="K2" t="s">
        <v>75</v>
      </c>
      <c r="M2" s="6" t="s">
        <v>74</v>
      </c>
      <c r="N2" t="s">
        <v>84</v>
      </c>
    </row>
    <row r="3" spans="1:14" x14ac:dyDescent="0.3">
      <c r="A3" s="4"/>
      <c r="G3" s="7">
        <v>4</v>
      </c>
      <c r="H3" s="8">
        <v>26</v>
      </c>
      <c r="J3" s="7">
        <v>2015</v>
      </c>
      <c r="K3" s="8">
        <v>9</v>
      </c>
      <c r="M3" s="7" t="s">
        <v>21</v>
      </c>
      <c r="N3" s="8">
        <v>21.5</v>
      </c>
    </row>
    <row r="4" spans="1:14" x14ac:dyDescent="0.3">
      <c r="G4" s="7">
        <v>5</v>
      </c>
      <c r="H4" s="8">
        <v>26</v>
      </c>
      <c r="J4" s="7">
        <v>2016</v>
      </c>
      <c r="K4" s="8">
        <v>13</v>
      </c>
      <c r="M4" s="7" t="s">
        <v>52</v>
      </c>
      <c r="N4" s="8">
        <v>18.522222222222222</v>
      </c>
    </row>
    <row r="5" spans="1:14" x14ac:dyDescent="0.3">
      <c r="A5" s="4"/>
      <c r="G5" s="7">
        <v>6</v>
      </c>
      <c r="H5" s="8">
        <v>26</v>
      </c>
      <c r="J5" s="7">
        <v>2017</v>
      </c>
      <c r="K5" s="8">
        <v>8</v>
      </c>
      <c r="M5" s="7" t="s">
        <v>15</v>
      </c>
      <c r="N5" s="8">
        <v>16.224999999999998</v>
      </c>
    </row>
    <row r="6" spans="1:14" x14ac:dyDescent="0.3">
      <c r="G6" s="7">
        <v>7</v>
      </c>
      <c r="H6" s="8">
        <v>22</v>
      </c>
      <c r="J6" s="7">
        <v>2018</v>
      </c>
      <c r="K6" s="8">
        <v>11</v>
      </c>
      <c r="M6" s="7" t="s">
        <v>35</v>
      </c>
      <c r="N6" s="8">
        <v>20.877777777777776</v>
      </c>
    </row>
    <row r="7" spans="1:14" x14ac:dyDescent="0.3">
      <c r="A7" s="4"/>
      <c r="G7" s="7" t="s">
        <v>72</v>
      </c>
      <c r="H7" s="8">
        <v>100</v>
      </c>
      <c r="J7" s="7">
        <v>2019</v>
      </c>
      <c r="K7" s="8">
        <v>8</v>
      </c>
      <c r="M7" s="7" t="s">
        <v>18</v>
      </c>
      <c r="N7" s="8">
        <v>18.45</v>
      </c>
    </row>
    <row r="8" spans="1:14" x14ac:dyDescent="0.3">
      <c r="J8" s="7">
        <v>2020</v>
      </c>
      <c r="K8" s="8">
        <v>13</v>
      </c>
      <c r="M8" s="7" t="s">
        <v>29</v>
      </c>
      <c r="N8" s="8">
        <v>22.25</v>
      </c>
    </row>
    <row r="9" spans="1:14" x14ac:dyDescent="0.3">
      <c r="A9" s="4"/>
      <c r="G9" s="6" t="s">
        <v>74</v>
      </c>
      <c r="H9" t="s">
        <v>78</v>
      </c>
      <c r="J9" s="7">
        <v>2021</v>
      </c>
      <c r="K9" s="8">
        <v>8</v>
      </c>
      <c r="M9" s="7" t="s">
        <v>40</v>
      </c>
      <c r="N9" s="8">
        <v>20.21</v>
      </c>
    </row>
    <row r="10" spans="1:14" x14ac:dyDescent="0.3">
      <c r="G10" s="7" t="s">
        <v>21</v>
      </c>
      <c r="H10" s="1">
        <v>159600</v>
      </c>
      <c r="J10" s="7">
        <v>2022</v>
      </c>
      <c r="K10" s="8">
        <v>14</v>
      </c>
      <c r="M10" s="7" t="s">
        <v>37</v>
      </c>
      <c r="N10" s="8">
        <v>18.200000000000006</v>
      </c>
    </row>
    <row r="11" spans="1:14" x14ac:dyDescent="0.3">
      <c r="A11" s="4"/>
      <c r="G11" s="7" t="s">
        <v>52</v>
      </c>
      <c r="H11" s="1">
        <v>160500</v>
      </c>
      <c r="J11" s="7">
        <v>2023</v>
      </c>
      <c r="K11" s="8">
        <v>9</v>
      </c>
      <c r="M11" s="7" t="s">
        <v>11</v>
      </c>
      <c r="N11" s="8">
        <v>21.693750000000001</v>
      </c>
    </row>
    <row r="12" spans="1:14" x14ac:dyDescent="0.3">
      <c r="G12" s="7" t="s">
        <v>15</v>
      </c>
      <c r="H12" s="1">
        <v>179600</v>
      </c>
      <c r="J12" s="7">
        <v>2024</v>
      </c>
      <c r="K12" s="8">
        <v>7</v>
      </c>
      <c r="M12" s="7" t="s">
        <v>27</v>
      </c>
      <c r="N12" s="8">
        <v>18.037499999999998</v>
      </c>
    </row>
    <row r="13" spans="1:14" x14ac:dyDescent="0.3">
      <c r="A13" s="4"/>
      <c r="G13" s="7" t="s">
        <v>35</v>
      </c>
      <c r="H13" s="1">
        <v>133700</v>
      </c>
      <c r="J13" s="7" t="s">
        <v>72</v>
      </c>
      <c r="K13" s="8">
        <v>100</v>
      </c>
      <c r="M13" s="7" t="s">
        <v>72</v>
      </c>
      <c r="N13" s="8">
        <v>19.553000000000004</v>
      </c>
    </row>
    <row r="14" spans="1:14" x14ac:dyDescent="0.3">
      <c r="G14" s="7" t="s">
        <v>18</v>
      </c>
      <c r="H14" s="1">
        <v>105400</v>
      </c>
      <c r="N14">
        <f>MAX(N3:N12)</f>
        <v>22.25</v>
      </c>
    </row>
    <row r="15" spans="1:14" x14ac:dyDescent="0.3">
      <c r="A15" s="4"/>
      <c r="G15" s="7" t="s">
        <v>29</v>
      </c>
      <c r="H15" s="1">
        <v>67700</v>
      </c>
    </row>
    <row r="16" spans="1:14" x14ac:dyDescent="0.3">
      <c r="G16" s="7" t="s">
        <v>40</v>
      </c>
      <c r="H16" s="1">
        <v>181500</v>
      </c>
    </row>
    <row r="17" spans="1:25" x14ac:dyDescent="0.3">
      <c r="A17" s="4"/>
      <c r="G17" s="7" t="s">
        <v>37</v>
      </c>
      <c r="H17" s="1">
        <v>198200</v>
      </c>
    </row>
    <row r="18" spans="1:25" x14ac:dyDescent="0.3">
      <c r="G18" s="7" t="s">
        <v>11</v>
      </c>
      <c r="H18" s="1">
        <v>235700</v>
      </c>
    </row>
    <row r="19" spans="1:25" x14ac:dyDescent="0.3">
      <c r="A19" s="4"/>
      <c r="G19" s="7" t="s">
        <v>27</v>
      </c>
      <c r="H19" s="1">
        <v>113200</v>
      </c>
    </row>
    <row r="20" spans="1:25" x14ac:dyDescent="0.3">
      <c r="G20" s="7" t="s">
        <v>72</v>
      </c>
      <c r="H20" s="1">
        <v>1535100</v>
      </c>
    </row>
    <row r="22" spans="1:25" x14ac:dyDescent="0.3">
      <c r="Y22" s="4"/>
    </row>
    <row r="24" spans="1:25" x14ac:dyDescent="0.3">
      <c r="Y24" s="4"/>
    </row>
    <row r="26" spans="1:25" x14ac:dyDescent="0.3">
      <c r="A26" s="6" t="s">
        <v>74</v>
      </c>
      <c r="B26" t="s">
        <v>76</v>
      </c>
      <c r="D26" s="6" t="s">
        <v>74</v>
      </c>
      <c r="E26" t="s">
        <v>79</v>
      </c>
      <c r="G26" s="6" t="s">
        <v>80</v>
      </c>
      <c r="H26" t="s">
        <v>77</v>
      </c>
      <c r="J26" s="6" t="s">
        <v>3</v>
      </c>
      <c r="K26" t="s">
        <v>83</v>
      </c>
      <c r="Y26" s="4"/>
    </row>
    <row r="27" spans="1:25" x14ac:dyDescent="0.3">
      <c r="A27" s="7" t="s">
        <v>21</v>
      </c>
      <c r="B27" s="8">
        <v>1781666.6666666667</v>
      </c>
      <c r="D27" s="7" t="s">
        <v>21</v>
      </c>
      <c r="E27" s="8">
        <v>12</v>
      </c>
      <c r="G27" s="7" t="s">
        <v>13</v>
      </c>
      <c r="H27" s="8">
        <v>548.1</v>
      </c>
      <c r="I27">
        <f>MAX(H27:H30)</f>
        <v>636.70000000000005</v>
      </c>
      <c r="J27" s="7">
        <v>2015</v>
      </c>
      <c r="K27" s="8">
        <v>15600000</v>
      </c>
    </row>
    <row r="28" spans="1:25" x14ac:dyDescent="0.3">
      <c r="A28" s="7" t="s">
        <v>52</v>
      </c>
      <c r="B28" s="8">
        <v>2262222.222222222</v>
      </c>
      <c r="D28" s="7" t="s">
        <v>52</v>
      </c>
      <c r="E28" s="8">
        <v>9</v>
      </c>
      <c r="G28" s="7" t="s">
        <v>17</v>
      </c>
      <c r="H28" s="8">
        <v>636.70000000000005</v>
      </c>
      <c r="J28" s="7">
        <v>2016</v>
      </c>
      <c r="K28" s="8">
        <v>22610000</v>
      </c>
      <c r="Y28" s="4"/>
    </row>
    <row r="29" spans="1:25" x14ac:dyDescent="0.3">
      <c r="A29" s="7" t="s">
        <v>15</v>
      </c>
      <c r="B29" s="8">
        <v>1855000</v>
      </c>
      <c r="C29">
        <f>MAX(B27:B36)</f>
        <v>2295000</v>
      </c>
      <c r="D29" s="7" t="s">
        <v>15</v>
      </c>
      <c r="E29" s="8">
        <v>12</v>
      </c>
      <c r="G29" s="7" t="s">
        <v>24</v>
      </c>
      <c r="H29" s="8">
        <v>446.20000000000005</v>
      </c>
      <c r="J29" s="7">
        <v>2017</v>
      </c>
      <c r="K29" s="8">
        <v>17350000</v>
      </c>
    </row>
    <row r="30" spans="1:25" x14ac:dyDescent="0.3">
      <c r="A30" s="7" t="s">
        <v>35</v>
      </c>
      <c r="B30" s="8">
        <v>1875555.5555555555</v>
      </c>
      <c r="D30" s="7" t="s">
        <v>35</v>
      </c>
      <c r="E30" s="8">
        <v>9</v>
      </c>
      <c r="G30" s="7" t="s">
        <v>20</v>
      </c>
      <c r="H30" s="8">
        <v>324.29999999999995</v>
      </c>
      <c r="J30" s="7">
        <v>2018</v>
      </c>
      <c r="K30" s="8">
        <v>22330000</v>
      </c>
      <c r="Y30" s="4"/>
    </row>
    <row r="31" spans="1:25" x14ac:dyDescent="0.3">
      <c r="A31" s="7" t="s">
        <v>18</v>
      </c>
      <c r="B31" s="8">
        <v>1918333.3333333333</v>
      </c>
      <c r="D31" s="7" t="s">
        <v>18</v>
      </c>
      <c r="E31" s="8">
        <v>6</v>
      </c>
      <c r="G31" s="7" t="s">
        <v>72</v>
      </c>
      <c r="H31" s="8">
        <v>1955.3000000000002</v>
      </c>
      <c r="J31" s="7">
        <v>2019</v>
      </c>
      <c r="K31" s="8">
        <v>15490000</v>
      </c>
    </row>
    <row r="32" spans="1:25" x14ac:dyDescent="0.3">
      <c r="A32" s="7" t="s">
        <v>29</v>
      </c>
      <c r="B32" s="8">
        <v>1180000</v>
      </c>
      <c r="D32" s="7" t="s">
        <v>29</v>
      </c>
      <c r="E32" s="8">
        <v>4</v>
      </c>
      <c r="J32" s="7">
        <v>2020</v>
      </c>
      <c r="K32" s="8">
        <v>27550000</v>
      </c>
      <c r="Y32" s="4"/>
    </row>
    <row r="33" spans="1:25" x14ac:dyDescent="0.3">
      <c r="A33" s="7" t="s">
        <v>40</v>
      </c>
      <c r="B33" s="8">
        <v>2110000</v>
      </c>
      <c r="D33" s="7" t="s">
        <v>40</v>
      </c>
      <c r="E33" s="8">
        <v>10</v>
      </c>
      <c r="J33" s="7">
        <v>2021</v>
      </c>
      <c r="K33" s="8">
        <v>11800000</v>
      </c>
    </row>
    <row r="34" spans="1:25" x14ac:dyDescent="0.3">
      <c r="A34" s="7" t="s">
        <v>37</v>
      </c>
      <c r="B34" s="8">
        <v>1607142.857142857</v>
      </c>
      <c r="D34" s="7" t="s">
        <v>37</v>
      </c>
      <c r="E34" s="8">
        <v>14</v>
      </c>
      <c r="G34" s="6" t="s">
        <v>5</v>
      </c>
      <c r="H34" t="s">
        <v>76</v>
      </c>
      <c r="J34" s="7">
        <v>2022</v>
      </c>
      <c r="K34" s="8">
        <v>26260000</v>
      </c>
      <c r="Y34" s="4"/>
    </row>
    <row r="35" spans="1:25" x14ac:dyDescent="0.3">
      <c r="A35" s="7" t="s">
        <v>11</v>
      </c>
      <c r="B35" s="8">
        <v>1848750</v>
      </c>
      <c r="D35" s="7" t="s">
        <v>11</v>
      </c>
      <c r="E35" s="8">
        <v>16</v>
      </c>
      <c r="G35" s="7" t="s">
        <v>31</v>
      </c>
      <c r="H35" s="8">
        <v>1708750</v>
      </c>
      <c r="J35" s="7">
        <v>2023</v>
      </c>
      <c r="K35" s="8">
        <v>17640000</v>
      </c>
    </row>
    <row r="36" spans="1:25" x14ac:dyDescent="0.3">
      <c r="A36" s="7" t="s">
        <v>27</v>
      </c>
      <c r="B36" s="8">
        <v>2295000</v>
      </c>
      <c r="D36" s="7" t="s">
        <v>27</v>
      </c>
      <c r="E36" s="8">
        <v>8</v>
      </c>
      <c r="G36" s="7" t="s">
        <v>14</v>
      </c>
      <c r="H36" s="8">
        <v>2050576.923076923</v>
      </c>
      <c r="J36" s="7">
        <v>2024</v>
      </c>
      <c r="K36" s="8">
        <v>12020000</v>
      </c>
      <c r="Y36" s="4"/>
    </row>
    <row r="37" spans="1:25" x14ac:dyDescent="0.3">
      <c r="A37" s="7" t="s">
        <v>72</v>
      </c>
      <c r="B37" s="8">
        <v>1886500</v>
      </c>
      <c r="D37" s="7" t="s">
        <v>72</v>
      </c>
      <c r="E37" s="8">
        <v>100</v>
      </c>
      <c r="G37" s="7" t="s">
        <v>72</v>
      </c>
      <c r="H37" s="8">
        <v>1886500</v>
      </c>
      <c r="J37" s="7" t="s">
        <v>72</v>
      </c>
      <c r="K37" s="8">
        <v>188650000</v>
      </c>
    </row>
    <row r="38" spans="1:25" x14ac:dyDescent="0.3">
      <c r="Y38" s="4"/>
    </row>
    <row r="40" spans="1:25" x14ac:dyDescent="0.3">
      <c r="A40" s="6" t="s">
        <v>86</v>
      </c>
      <c r="B40" t="s">
        <v>73</v>
      </c>
      <c r="D40" s="6" t="s">
        <v>74</v>
      </c>
      <c r="E40" t="s">
        <v>77</v>
      </c>
      <c r="G40" s="6" t="s">
        <v>85</v>
      </c>
      <c r="H40" t="s">
        <v>78</v>
      </c>
      <c r="J40" s="6" t="s">
        <v>73</v>
      </c>
      <c r="K40" s="6" t="s">
        <v>5</v>
      </c>
      <c r="Y40" s="4"/>
    </row>
    <row r="41" spans="1:25" x14ac:dyDescent="0.3">
      <c r="A41" s="7">
        <v>1000</v>
      </c>
      <c r="B41" s="8">
        <v>16</v>
      </c>
      <c r="D41" s="7" t="s">
        <v>21</v>
      </c>
      <c r="E41" s="8">
        <v>258</v>
      </c>
      <c r="G41" s="7" t="s">
        <v>13</v>
      </c>
      <c r="H41" s="1">
        <v>384100</v>
      </c>
      <c r="J41" s="6" t="s">
        <v>74</v>
      </c>
      <c r="K41" t="s">
        <v>31</v>
      </c>
      <c r="L41" t="s">
        <v>14</v>
      </c>
      <c r="M41" t="s">
        <v>72</v>
      </c>
    </row>
    <row r="42" spans="1:25" x14ac:dyDescent="0.3">
      <c r="A42" s="7">
        <v>1200</v>
      </c>
      <c r="B42" s="8">
        <v>15</v>
      </c>
      <c r="D42" s="7" t="s">
        <v>52</v>
      </c>
      <c r="E42" s="8">
        <v>166.7</v>
      </c>
      <c r="G42" s="7" t="s">
        <v>17</v>
      </c>
      <c r="H42" s="1">
        <v>511700</v>
      </c>
      <c r="J42" s="7" t="s">
        <v>21</v>
      </c>
      <c r="K42" s="8">
        <v>6</v>
      </c>
      <c r="L42" s="8">
        <v>6</v>
      </c>
      <c r="M42" s="8">
        <v>12</v>
      </c>
    </row>
    <row r="43" spans="1:25" x14ac:dyDescent="0.3">
      <c r="A43" s="7">
        <v>1500</v>
      </c>
      <c r="B43" s="8">
        <v>16</v>
      </c>
      <c r="D43" s="7" t="s">
        <v>15</v>
      </c>
      <c r="E43" s="8">
        <v>194.7</v>
      </c>
      <c r="G43" s="7" t="s">
        <v>24</v>
      </c>
      <c r="H43" s="1">
        <v>356300</v>
      </c>
      <c r="J43" s="7" t="s">
        <v>52</v>
      </c>
      <c r="K43" s="8">
        <v>7</v>
      </c>
      <c r="L43" s="8">
        <v>2</v>
      </c>
      <c r="M43" s="8">
        <v>9</v>
      </c>
    </row>
    <row r="44" spans="1:25" x14ac:dyDescent="0.3">
      <c r="A44" s="7">
        <v>1800</v>
      </c>
      <c r="B44" s="8">
        <v>15</v>
      </c>
      <c r="D44" s="7" t="s">
        <v>35</v>
      </c>
      <c r="E44" s="8">
        <v>187.89999999999998</v>
      </c>
      <c r="G44" s="7" t="s">
        <v>20</v>
      </c>
      <c r="H44" s="1">
        <v>283000</v>
      </c>
      <c r="J44" s="7" t="s">
        <v>15</v>
      </c>
      <c r="K44" s="8">
        <v>6</v>
      </c>
      <c r="L44" s="8">
        <v>6</v>
      </c>
      <c r="M44" s="8">
        <v>12</v>
      </c>
    </row>
    <row r="45" spans="1:25" x14ac:dyDescent="0.3">
      <c r="A45" s="7">
        <v>2000</v>
      </c>
      <c r="B45" s="8">
        <v>12</v>
      </c>
      <c r="D45" s="7" t="s">
        <v>18</v>
      </c>
      <c r="E45" s="8">
        <v>110.7</v>
      </c>
      <c r="G45" s="7" t="s">
        <v>72</v>
      </c>
      <c r="H45" s="1">
        <v>1535100</v>
      </c>
      <c r="J45" s="7" t="s">
        <v>35</v>
      </c>
      <c r="K45" s="8">
        <v>6</v>
      </c>
      <c r="L45" s="8">
        <v>3</v>
      </c>
      <c r="M45" s="8">
        <v>9</v>
      </c>
    </row>
    <row r="46" spans="1:25" x14ac:dyDescent="0.3">
      <c r="A46" s="7">
        <v>2500</v>
      </c>
      <c r="B46" s="8">
        <v>17</v>
      </c>
      <c r="D46" s="7" t="s">
        <v>29</v>
      </c>
      <c r="E46" s="8">
        <v>89</v>
      </c>
      <c r="J46" s="7" t="s">
        <v>18</v>
      </c>
      <c r="K46" s="8">
        <v>2</v>
      </c>
      <c r="L46" s="8">
        <v>4</v>
      </c>
      <c r="M46" s="8">
        <v>6</v>
      </c>
    </row>
    <row r="47" spans="1:25" x14ac:dyDescent="0.3">
      <c r="A47" s="7" t="s">
        <v>72</v>
      </c>
      <c r="B47" s="8">
        <v>91</v>
      </c>
      <c r="D47" s="7" t="s">
        <v>40</v>
      </c>
      <c r="E47" s="8">
        <v>202.1</v>
      </c>
      <c r="J47" s="7" t="s">
        <v>29</v>
      </c>
      <c r="K47" s="8">
        <v>2</v>
      </c>
      <c r="L47" s="8">
        <v>2</v>
      </c>
      <c r="M47" s="8">
        <v>4</v>
      </c>
    </row>
    <row r="48" spans="1:25" x14ac:dyDescent="0.3">
      <c r="D48" s="7" t="s">
        <v>37</v>
      </c>
      <c r="E48" s="8">
        <v>254.80000000000007</v>
      </c>
      <c r="J48" s="7" t="s">
        <v>40</v>
      </c>
      <c r="K48" s="8">
        <v>8</v>
      </c>
      <c r="L48" s="8">
        <v>2</v>
      </c>
      <c r="M48" s="8">
        <v>10</v>
      </c>
    </row>
    <row r="49" spans="4:13" x14ac:dyDescent="0.3">
      <c r="D49" s="7" t="s">
        <v>11</v>
      </c>
      <c r="E49" s="8">
        <v>347.1</v>
      </c>
      <c r="J49" s="7" t="s">
        <v>37</v>
      </c>
      <c r="K49" s="8">
        <v>4</v>
      </c>
      <c r="L49" s="8">
        <v>10</v>
      </c>
      <c r="M49" s="8">
        <v>14</v>
      </c>
    </row>
    <row r="50" spans="4:13" x14ac:dyDescent="0.3">
      <c r="D50" s="7" t="s">
        <v>27</v>
      </c>
      <c r="E50" s="8">
        <v>144.29999999999998</v>
      </c>
      <c r="J50" s="7" t="s">
        <v>11</v>
      </c>
      <c r="K50" s="8">
        <v>6</v>
      </c>
      <c r="L50" s="8">
        <v>10</v>
      </c>
      <c r="M50" s="8">
        <v>16</v>
      </c>
    </row>
    <row r="51" spans="4:13" x14ac:dyDescent="0.3">
      <c r="D51" s="7" t="s">
        <v>72</v>
      </c>
      <c r="E51" s="8">
        <v>1955.3</v>
      </c>
      <c r="J51" s="7" t="s">
        <v>27</v>
      </c>
      <c r="K51" s="8">
        <v>1</v>
      </c>
      <c r="L51" s="8">
        <v>7</v>
      </c>
      <c r="M51" s="8">
        <v>8</v>
      </c>
    </row>
    <row r="52" spans="4:13" x14ac:dyDescent="0.3">
      <c r="J52" s="7" t="s">
        <v>72</v>
      </c>
      <c r="K52" s="8">
        <v>48</v>
      </c>
      <c r="L52" s="8">
        <v>52</v>
      </c>
      <c r="M52" s="8">
        <v>100</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9CE15-34F0-4B1D-BF0C-68276DA70114}">
  <dimension ref="A1"/>
  <sheetViews>
    <sheetView tabSelected="1" topLeftCell="A4" zoomScale="50" zoomScaleNormal="50" workbookViewId="0">
      <selection activeCell="AM17" sqref="AM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Clean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Devanshi Bacchhote</dc:creator>
  <cp:lastModifiedBy>Devanshi Bacchhote</cp:lastModifiedBy>
  <dcterms:created xsi:type="dcterms:W3CDTF">2026-03-11T13:03:47Z</dcterms:created>
  <dcterms:modified xsi:type="dcterms:W3CDTF">2026-03-12T04:12:10Z</dcterms:modified>
</cp:coreProperties>
</file>