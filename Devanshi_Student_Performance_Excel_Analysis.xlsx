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https://d.docs.live.net/5da4ce7d2feaf9b2/Desktop/Excel_DA_DS/"/>
    </mc:Choice>
  </mc:AlternateContent>
  <xr:revisionPtr revIDLastSave="1053" documentId="8_{7AB4A7CC-08F0-4C6A-A7C2-9BE1A0A1BD7B}" xr6:coauthVersionLast="47" xr6:coauthVersionMax="47" xr10:uidLastSave="{B70D589D-27C9-4688-85F7-86570A90C3C0}"/>
  <bookViews>
    <workbookView xWindow="-108" yWindow="-108" windowWidth="23256" windowHeight="12456" tabRatio="599" activeTab="4" xr2:uid="{2823635F-716E-45D5-8C1F-B7DC5CC5F50E}"/>
  </bookViews>
  <sheets>
    <sheet name="Raw data" sheetId="4" r:id="rId1"/>
    <sheet name="Clean Data" sheetId="5" r:id="rId2"/>
    <sheet name="Data Analysis" sheetId="6" r:id="rId3"/>
    <sheet name="Pivot Table" sheetId="7" r:id="rId4"/>
    <sheet name="DashBoard" sheetId="8" r:id="rId5"/>
  </sheets>
  <definedNames>
    <definedName name="Slicer_Gender">#N/A</definedName>
    <definedName name="Slicer_ParentalEducation">#N/A</definedName>
    <definedName name="Slicer_Tutoring">#N/A</definedName>
  </definedNames>
  <calcPr calcId="191029" iterate="1" iterateCount="1"/>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 i="5" l="1"/>
  <c r="U8" i="5"/>
  <c r="Q2" i="5"/>
  <c r="Q3" i="5"/>
  <c r="Q4" i="5"/>
  <c r="Q5" i="5"/>
  <c r="Q6" i="5"/>
  <c r="Q7" i="5"/>
  <c r="Q8" i="5"/>
  <c r="Q9" i="5"/>
  <c r="Q10" i="5"/>
  <c r="Q11" i="5"/>
  <c r="Q12" i="5"/>
  <c r="Q13" i="5"/>
  <c r="Q14" i="5"/>
  <c r="Q15" i="5"/>
  <c r="Q16" i="5"/>
  <c r="Q17" i="5"/>
  <c r="Q18" i="5"/>
  <c r="Q19" i="5"/>
  <c r="Q20" i="5"/>
  <c r="Q21" i="5"/>
  <c r="Q22" i="5"/>
  <c r="Q23" i="5"/>
  <c r="Q24" i="5"/>
  <c r="Q25" i="5"/>
  <c r="Q26" i="5"/>
  <c r="Q27" i="5"/>
  <c r="Q28" i="5"/>
  <c r="Q29" i="5"/>
  <c r="Q30" i="5"/>
  <c r="Q31" i="5"/>
  <c r="Q32" i="5"/>
  <c r="Q33" i="5"/>
  <c r="Q34" i="5"/>
  <c r="Q35" i="5"/>
  <c r="Q36" i="5"/>
  <c r="Q37" i="5"/>
  <c r="Q38" i="5"/>
  <c r="Q39" i="5"/>
  <c r="Q40" i="5"/>
  <c r="Q41" i="5"/>
  <c r="Q42" i="5"/>
  <c r="Q43" i="5"/>
  <c r="Q44" i="5"/>
  <c r="Q45" i="5"/>
  <c r="Q46" i="5"/>
  <c r="Q47" i="5"/>
  <c r="Q48" i="5"/>
  <c r="Q49" i="5"/>
  <c r="Q50" i="5"/>
  <c r="Q51" i="5"/>
  <c r="Q52" i="5"/>
  <c r="Q53" i="5"/>
  <c r="Q54" i="5"/>
  <c r="Q55" i="5"/>
  <c r="Q56" i="5"/>
  <c r="Q57" i="5"/>
  <c r="Q58" i="5"/>
  <c r="Q59" i="5"/>
  <c r="Q60" i="5"/>
  <c r="Q61" i="5"/>
  <c r="Q62" i="5"/>
  <c r="Q63" i="5"/>
  <c r="Q64" i="5"/>
  <c r="Q65" i="5"/>
  <c r="Q66" i="5"/>
  <c r="Q67" i="5"/>
  <c r="Q68" i="5"/>
  <c r="Q69" i="5"/>
  <c r="Q70" i="5"/>
  <c r="Q71" i="5"/>
  <c r="Q72" i="5"/>
  <c r="Q73" i="5"/>
  <c r="Q74" i="5"/>
  <c r="Q75" i="5"/>
  <c r="Q76" i="5"/>
  <c r="Q77" i="5"/>
  <c r="Q78" i="5"/>
  <c r="Q79" i="5"/>
  <c r="Q80" i="5"/>
  <c r="Q81" i="5"/>
  <c r="Q82" i="5"/>
  <c r="Q83" i="5"/>
  <c r="Q84" i="5"/>
  <c r="Q85" i="5"/>
  <c r="Q86" i="5"/>
  <c r="Q87" i="5"/>
  <c r="Q88" i="5"/>
  <c r="Q89" i="5"/>
  <c r="Q90" i="5"/>
  <c r="Q91" i="5"/>
  <c r="Q92" i="5"/>
  <c r="Q93" i="5"/>
  <c r="Q94" i="5"/>
  <c r="Q95" i="5"/>
  <c r="Q96" i="5"/>
  <c r="Q97" i="5"/>
  <c r="Q98" i="5"/>
  <c r="Q99" i="5"/>
  <c r="Q100" i="5"/>
  <c r="Q101" i="5"/>
  <c r="Q102" i="5"/>
  <c r="Q103" i="5"/>
  <c r="Q104" i="5"/>
  <c r="Q105" i="5"/>
  <c r="Q106" i="5"/>
  <c r="Q107" i="5"/>
  <c r="Q108" i="5"/>
  <c r="Q109" i="5"/>
  <c r="Q110" i="5"/>
  <c r="Q111" i="5"/>
  <c r="Q112" i="5"/>
  <c r="Q113" i="5"/>
  <c r="Q114" i="5"/>
  <c r="Q115" i="5"/>
  <c r="Q116" i="5"/>
  <c r="Q117" i="5"/>
  <c r="Q118" i="5"/>
  <c r="Q119" i="5"/>
  <c r="Q120" i="5"/>
  <c r="Q121" i="5"/>
  <c r="Q122" i="5"/>
  <c r="Q123" i="5"/>
  <c r="Q124" i="5"/>
  <c r="Q125" i="5"/>
  <c r="Q126" i="5"/>
  <c r="Q127" i="5"/>
  <c r="Q128" i="5"/>
  <c r="Q129" i="5"/>
  <c r="Q130" i="5"/>
  <c r="Q131" i="5"/>
  <c r="Q132" i="5"/>
  <c r="Q133" i="5"/>
  <c r="Q134" i="5"/>
  <c r="Q135" i="5"/>
  <c r="Q136" i="5"/>
  <c r="Q137" i="5"/>
  <c r="Q138" i="5"/>
  <c r="Q139" i="5"/>
  <c r="Q140" i="5"/>
  <c r="Q141" i="5"/>
  <c r="Q142" i="5"/>
  <c r="Q143" i="5"/>
  <c r="Q144" i="5"/>
  <c r="Q145" i="5"/>
  <c r="Q146" i="5"/>
  <c r="Q147" i="5"/>
  <c r="Q148" i="5"/>
  <c r="Q149" i="5"/>
  <c r="Q150" i="5"/>
  <c r="Q151" i="5"/>
  <c r="Q152" i="5"/>
  <c r="Q153" i="5"/>
  <c r="Q154" i="5"/>
  <c r="Q155" i="5"/>
  <c r="Q156" i="5"/>
  <c r="Q157" i="5"/>
  <c r="Q158" i="5"/>
  <c r="Q159" i="5"/>
  <c r="Q160" i="5"/>
  <c r="Q161" i="5"/>
  <c r="Q162" i="5"/>
  <c r="Q163" i="5"/>
  <c r="Q164" i="5"/>
  <c r="Q165" i="5"/>
  <c r="Q166" i="5"/>
  <c r="Q167" i="5"/>
  <c r="Q168" i="5"/>
  <c r="Q169" i="5"/>
  <c r="Q170" i="5"/>
  <c r="Q171" i="5"/>
  <c r="Q172" i="5"/>
  <c r="Q173" i="5"/>
  <c r="Q174" i="5"/>
  <c r="Q175" i="5"/>
  <c r="Q176" i="5"/>
  <c r="Q177" i="5"/>
  <c r="Q178" i="5"/>
  <c r="Q179" i="5"/>
  <c r="Q180" i="5"/>
  <c r="Q181" i="5"/>
  <c r="Q182" i="5"/>
  <c r="Q183" i="5"/>
  <c r="Q184" i="5"/>
  <c r="Q185" i="5"/>
  <c r="Q186" i="5"/>
  <c r="Q187" i="5"/>
  <c r="Q188" i="5"/>
  <c r="Q189" i="5"/>
  <c r="Q190" i="5"/>
  <c r="Q191" i="5"/>
  <c r="Q192" i="5"/>
  <c r="Q193" i="5"/>
  <c r="Q194" i="5"/>
  <c r="Q195" i="5"/>
  <c r="Q196" i="5"/>
  <c r="Q197" i="5"/>
  <c r="Q198" i="5"/>
  <c r="Q199" i="5"/>
  <c r="Q200" i="5"/>
  <c r="Q201" i="5"/>
  <c r="Q202" i="5"/>
  <c r="Q203" i="5"/>
  <c r="Q204" i="5"/>
  <c r="Q205" i="5"/>
  <c r="Q206" i="5"/>
  <c r="Q207" i="5"/>
  <c r="Q208" i="5"/>
  <c r="Q209" i="5"/>
  <c r="Q210" i="5"/>
  <c r="Q211" i="5"/>
  <c r="Q212" i="5"/>
  <c r="Q213" i="5"/>
  <c r="Q214" i="5"/>
  <c r="Q215" i="5"/>
  <c r="Q216" i="5"/>
  <c r="Q217" i="5"/>
  <c r="Q218" i="5"/>
  <c r="Q219" i="5"/>
  <c r="Q220" i="5"/>
  <c r="Q221" i="5"/>
  <c r="Q222" i="5"/>
  <c r="Q223" i="5"/>
  <c r="Q224" i="5"/>
  <c r="Q225" i="5"/>
  <c r="Q226" i="5"/>
  <c r="Q227" i="5"/>
  <c r="Q228" i="5"/>
  <c r="Q229" i="5"/>
  <c r="Q230" i="5"/>
  <c r="Q231" i="5"/>
  <c r="Q232" i="5"/>
  <c r="Q233" i="5"/>
  <c r="Q234" i="5"/>
  <c r="Q235" i="5"/>
  <c r="Q236" i="5"/>
  <c r="Q237" i="5"/>
  <c r="Q238" i="5"/>
  <c r="Q239" i="5"/>
  <c r="Q240" i="5"/>
  <c r="Q241" i="5"/>
  <c r="Q242" i="5"/>
  <c r="Q243" i="5"/>
  <c r="Q244" i="5"/>
  <c r="Q245" i="5"/>
  <c r="Q246" i="5"/>
  <c r="Q247" i="5"/>
  <c r="Q248" i="5"/>
  <c r="Q249" i="5"/>
  <c r="Q250" i="5"/>
  <c r="Q251" i="5"/>
  <c r="Q252" i="5"/>
  <c r="Q253" i="5"/>
  <c r="Q254" i="5"/>
  <c r="Q255" i="5"/>
  <c r="Q256" i="5"/>
  <c r="Q257" i="5"/>
  <c r="Q258" i="5"/>
  <c r="Q259" i="5"/>
  <c r="Q260" i="5"/>
  <c r="Q261" i="5"/>
  <c r="Q262" i="5"/>
  <c r="Q263" i="5"/>
  <c r="Q264" i="5"/>
  <c r="Q265" i="5"/>
  <c r="Q266" i="5"/>
  <c r="Q267" i="5"/>
  <c r="Q268" i="5"/>
  <c r="Q269" i="5"/>
  <c r="Q270" i="5"/>
  <c r="Q271" i="5"/>
  <c r="Q272" i="5"/>
  <c r="Q273" i="5"/>
  <c r="Q274" i="5"/>
  <c r="Q275" i="5"/>
  <c r="Q276" i="5"/>
  <c r="Q277" i="5"/>
  <c r="Q278" i="5"/>
  <c r="Q279" i="5"/>
  <c r="Q280" i="5"/>
  <c r="Q281" i="5"/>
  <c r="Q282" i="5"/>
  <c r="Q283" i="5"/>
  <c r="Q284" i="5"/>
  <c r="Q285" i="5"/>
  <c r="Q286" i="5"/>
  <c r="Q287" i="5"/>
  <c r="Q288" i="5"/>
  <c r="Q289" i="5"/>
  <c r="Q290" i="5"/>
  <c r="Q291" i="5"/>
  <c r="Q292" i="5"/>
  <c r="Q293" i="5"/>
  <c r="Q294" i="5"/>
  <c r="Q295" i="5"/>
  <c r="Q296" i="5"/>
  <c r="Q297" i="5"/>
  <c r="Q298" i="5"/>
  <c r="Q299" i="5"/>
  <c r="Q300" i="5"/>
  <c r="Q301" i="5"/>
  <c r="Q302" i="5"/>
  <c r="Q303" i="5"/>
  <c r="Q304" i="5"/>
  <c r="Q305" i="5"/>
  <c r="Q306" i="5"/>
  <c r="Q307" i="5"/>
  <c r="Q308" i="5"/>
  <c r="Q309" i="5"/>
  <c r="Q310" i="5"/>
  <c r="Q311" i="5"/>
  <c r="Q312" i="5"/>
  <c r="Q313" i="5"/>
  <c r="Q314" i="5"/>
  <c r="Q315" i="5"/>
  <c r="Q316" i="5"/>
  <c r="Q317" i="5"/>
  <c r="Q318" i="5"/>
  <c r="Q319" i="5"/>
  <c r="Q320" i="5"/>
  <c r="Q321" i="5"/>
  <c r="Q322" i="5"/>
  <c r="Q323" i="5"/>
  <c r="Q324" i="5"/>
  <c r="Q325" i="5"/>
  <c r="Q326" i="5"/>
  <c r="Q327" i="5"/>
  <c r="Q328" i="5"/>
  <c r="Q329" i="5"/>
  <c r="Q330" i="5"/>
  <c r="Q331" i="5"/>
  <c r="Q332" i="5"/>
  <c r="Q333" i="5"/>
  <c r="Q334" i="5"/>
  <c r="Q335" i="5"/>
  <c r="Q336" i="5"/>
  <c r="Q337" i="5"/>
  <c r="Q338" i="5"/>
  <c r="Q339" i="5"/>
  <c r="Q340" i="5"/>
  <c r="Q341" i="5"/>
  <c r="Q342" i="5"/>
  <c r="Q343" i="5"/>
  <c r="Q344" i="5"/>
  <c r="Q345" i="5"/>
  <c r="Q346" i="5"/>
  <c r="Q347" i="5"/>
  <c r="Q348" i="5"/>
  <c r="Q349" i="5"/>
  <c r="Q350" i="5"/>
  <c r="Q351" i="5"/>
  <c r="Q352" i="5"/>
  <c r="Q353" i="5"/>
  <c r="Q354" i="5"/>
  <c r="Q355" i="5"/>
  <c r="Q356" i="5"/>
  <c r="Q357" i="5"/>
  <c r="Q358" i="5"/>
  <c r="Q359" i="5"/>
  <c r="Q360" i="5"/>
  <c r="Q361" i="5"/>
  <c r="Q362" i="5"/>
  <c r="Q363" i="5"/>
  <c r="Q364" i="5"/>
  <c r="Q365" i="5"/>
  <c r="Q366" i="5"/>
  <c r="Q367" i="5"/>
  <c r="Q368" i="5"/>
  <c r="Q369" i="5"/>
  <c r="Q370" i="5"/>
  <c r="Q371" i="5"/>
  <c r="Q372" i="5"/>
  <c r="Q373" i="5"/>
  <c r="Q374" i="5"/>
  <c r="Q375" i="5"/>
  <c r="Q376" i="5"/>
  <c r="Q377" i="5"/>
  <c r="Q378" i="5"/>
  <c r="Q379" i="5"/>
  <c r="Q380" i="5"/>
  <c r="Q381" i="5"/>
  <c r="Q382" i="5"/>
  <c r="Q383" i="5"/>
  <c r="Q384" i="5"/>
  <c r="Q385" i="5"/>
  <c r="Q386" i="5"/>
  <c r="Q387" i="5"/>
  <c r="Q388" i="5"/>
  <c r="Q389" i="5"/>
  <c r="Q390" i="5"/>
  <c r="Q391" i="5"/>
  <c r="Q392" i="5"/>
  <c r="Q393" i="5"/>
  <c r="Q394" i="5"/>
  <c r="Q395" i="5"/>
  <c r="Q396" i="5"/>
  <c r="D3" i="5"/>
  <c r="D4" i="5"/>
  <c r="D5" i="5"/>
  <c r="D6" i="5"/>
  <c r="D7" i="5"/>
  <c r="D8" i="5"/>
  <c r="D9" i="5"/>
  <c r="D10" i="5"/>
  <c r="D11" i="5"/>
  <c r="D12" i="5"/>
  <c r="D13" i="5"/>
  <c r="D14" i="5"/>
  <c r="D15" i="5"/>
  <c r="D16" i="5"/>
  <c r="D17" i="5"/>
  <c r="D18" i="5"/>
  <c r="D19" i="5"/>
  <c r="D20" i="5"/>
  <c r="D21" i="5"/>
  <c r="D22" i="5"/>
  <c r="D23" i="5"/>
  <c r="D24" i="5"/>
  <c r="D25" i="5"/>
  <c r="D26" i="5"/>
  <c r="D27" i="5"/>
  <c r="D28" i="5"/>
  <c r="D29" i="5"/>
  <c r="D30" i="5"/>
  <c r="D31" i="5"/>
  <c r="D32" i="5"/>
  <c r="D33" i="5"/>
  <c r="D34" i="5"/>
  <c r="D35" i="5"/>
  <c r="D36" i="5"/>
  <c r="D37" i="5"/>
  <c r="D38" i="5"/>
  <c r="D39" i="5"/>
  <c r="D40" i="5"/>
  <c r="D41" i="5"/>
  <c r="D42" i="5"/>
  <c r="D43" i="5"/>
  <c r="D44" i="5"/>
  <c r="D45" i="5"/>
  <c r="D46" i="5"/>
  <c r="D47" i="5"/>
  <c r="D48" i="5"/>
  <c r="D49" i="5"/>
  <c r="D50" i="5"/>
  <c r="D51" i="5"/>
  <c r="D52" i="5"/>
  <c r="D53" i="5"/>
  <c r="D54" i="5"/>
  <c r="D55" i="5"/>
  <c r="D56" i="5"/>
  <c r="D57" i="5"/>
  <c r="D58" i="5"/>
  <c r="D59" i="5"/>
  <c r="D60" i="5"/>
  <c r="D61" i="5"/>
  <c r="D62" i="5"/>
  <c r="D63" i="5"/>
  <c r="D64" i="5"/>
  <c r="D65" i="5"/>
  <c r="D66" i="5"/>
  <c r="D67" i="5"/>
  <c r="D68" i="5"/>
  <c r="D69" i="5"/>
  <c r="D70" i="5"/>
  <c r="D71" i="5"/>
  <c r="D72" i="5"/>
  <c r="D73" i="5"/>
  <c r="D74" i="5"/>
  <c r="D75" i="5"/>
  <c r="D76" i="5"/>
  <c r="D77" i="5"/>
  <c r="D78" i="5"/>
  <c r="D79" i="5"/>
  <c r="D80" i="5"/>
  <c r="D81" i="5"/>
  <c r="D82" i="5"/>
  <c r="D83" i="5"/>
  <c r="D84" i="5"/>
  <c r="D85" i="5"/>
  <c r="D86" i="5"/>
  <c r="D87" i="5"/>
  <c r="D88" i="5"/>
  <c r="D89" i="5"/>
  <c r="D90" i="5"/>
  <c r="D91" i="5"/>
  <c r="D92" i="5"/>
  <c r="D93" i="5"/>
  <c r="D94" i="5"/>
  <c r="D95" i="5"/>
  <c r="D96" i="5"/>
  <c r="D97" i="5"/>
  <c r="D98" i="5"/>
  <c r="D99" i="5"/>
  <c r="D100" i="5"/>
  <c r="D101" i="5"/>
  <c r="D102" i="5"/>
  <c r="D103" i="5"/>
  <c r="D104" i="5"/>
  <c r="D105" i="5"/>
  <c r="D106" i="5"/>
  <c r="D107" i="5"/>
  <c r="D108" i="5"/>
  <c r="D109" i="5"/>
  <c r="D110" i="5"/>
  <c r="D111" i="5"/>
  <c r="D112" i="5"/>
  <c r="D113" i="5"/>
  <c r="D114" i="5"/>
  <c r="D115" i="5"/>
  <c r="D116" i="5"/>
  <c r="D117" i="5"/>
  <c r="D118" i="5"/>
  <c r="D119" i="5"/>
  <c r="D120" i="5"/>
  <c r="D121" i="5"/>
  <c r="D122" i="5"/>
  <c r="D123" i="5"/>
  <c r="D124" i="5"/>
  <c r="D125" i="5"/>
  <c r="D126" i="5"/>
  <c r="D127" i="5"/>
  <c r="D128" i="5"/>
  <c r="D129" i="5"/>
  <c r="D130" i="5"/>
  <c r="D131" i="5"/>
  <c r="D132" i="5"/>
  <c r="D133" i="5"/>
  <c r="D134" i="5"/>
  <c r="D135" i="5"/>
  <c r="D136" i="5"/>
  <c r="D137" i="5"/>
  <c r="D138" i="5"/>
  <c r="D139" i="5"/>
  <c r="D140" i="5"/>
  <c r="D141" i="5"/>
  <c r="D142" i="5"/>
  <c r="D143" i="5"/>
  <c r="D144" i="5"/>
  <c r="D145" i="5"/>
  <c r="D146" i="5"/>
  <c r="D147" i="5"/>
  <c r="D148" i="5"/>
  <c r="D149" i="5"/>
  <c r="D150" i="5"/>
  <c r="D151" i="5"/>
  <c r="D152" i="5"/>
  <c r="D153" i="5"/>
  <c r="D154" i="5"/>
  <c r="D155" i="5"/>
  <c r="D156" i="5"/>
  <c r="D157" i="5"/>
  <c r="D158" i="5"/>
  <c r="D159" i="5"/>
  <c r="D160" i="5"/>
  <c r="D161" i="5"/>
  <c r="D162" i="5"/>
  <c r="D163" i="5"/>
  <c r="D164" i="5"/>
  <c r="D165" i="5"/>
  <c r="D166" i="5"/>
  <c r="D167" i="5"/>
  <c r="D168" i="5"/>
  <c r="D169" i="5"/>
  <c r="D170" i="5"/>
  <c r="D171" i="5"/>
  <c r="D172" i="5"/>
  <c r="D173" i="5"/>
  <c r="D174" i="5"/>
  <c r="D175" i="5"/>
  <c r="D176" i="5"/>
  <c r="D177" i="5"/>
  <c r="D178" i="5"/>
  <c r="D179" i="5"/>
  <c r="D180" i="5"/>
  <c r="D181" i="5"/>
  <c r="D182" i="5"/>
  <c r="D183" i="5"/>
  <c r="D184" i="5"/>
  <c r="D185" i="5"/>
  <c r="D186" i="5"/>
  <c r="D187" i="5"/>
  <c r="D188" i="5"/>
  <c r="D189" i="5"/>
  <c r="D190" i="5"/>
  <c r="D191" i="5"/>
  <c r="D192" i="5"/>
  <c r="D193" i="5"/>
  <c r="D194" i="5"/>
  <c r="D195" i="5"/>
  <c r="D196" i="5"/>
  <c r="D197" i="5"/>
  <c r="D198" i="5"/>
  <c r="D199" i="5"/>
  <c r="D200" i="5"/>
  <c r="D201" i="5"/>
  <c r="D202" i="5"/>
  <c r="D203" i="5"/>
  <c r="D204" i="5"/>
  <c r="D205" i="5"/>
  <c r="D206" i="5"/>
  <c r="D207" i="5"/>
  <c r="D208" i="5"/>
  <c r="D209" i="5"/>
  <c r="D210" i="5"/>
  <c r="D211" i="5"/>
  <c r="D212" i="5"/>
  <c r="D213" i="5"/>
  <c r="D214" i="5"/>
  <c r="D215" i="5"/>
  <c r="D216" i="5"/>
  <c r="D217" i="5"/>
  <c r="D218" i="5"/>
  <c r="D219" i="5"/>
  <c r="D220" i="5"/>
  <c r="D221" i="5"/>
  <c r="D222" i="5"/>
  <c r="D223" i="5"/>
  <c r="D224" i="5"/>
  <c r="D225" i="5"/>
  <c r="D226" i="5"/>
  <c r="D227" i="5"/>
  <c r="D228" i="5"/>
  <c r="D229" i="5"/>
  <c r="D230" i="5"/>
  <c r="D231" i="5"/>
  <c r="D232" i="5"/>
  <c r="D233" i="5"/>
  <c r="D234" i="5"/>
  <c r="D235" i="5"/>
  <c r="D236" i="5"/>
  <c r="D237" i="5"/>
  <c r="D238" i="5"/>
  <c r="D239" i="5"/>
  <c r="D240" i="5"/>
  <c r="D241" i="5"/>
  <c r="D242" i="5"/>
  <c r="D243" i="5"/>
  <c r="D244" i="5"/>
  <c r="D245" i="5"/>
  <c r="D246" i="5"/>
  <c r="D247" i="5"/>
  <c r="D248" i="5"/>
  <c r="D249" i="5"/>
  <c r="D250" i="5"/>
  <c r="D251" i="5"/>
  <c r="D252" i="5"/>
  <c r="D253" i="5"/>
  <c r="D254" i="5"/>
  <c r="D255" i="5"/>
  <c r="D256" i="5"/>
  <c r="D257" i="5"/>
  <c r="D258" i="5"/>
  <c r="D259" i="5"/>
  <c r="D260" i="5"/>
  <c r="D261" i="5"/>
  <c r="D262" i="5"/>
  <c r="D263" i="5"/>
  <c r="D264" i="5"/>
  <c r="D265" i="5"/>
  <c r="D266" i="5"/>
  <c r="D267" i="5"/>
  <c r="D268" i="5"/>
  <c r="D269" i="5"/>
  <c r="D270" i="5"/>
  <c r="D271" i="5"/>
  <c r="D272" i="5"/>
  <c r="D273" i="5"/>
  <c r="D274" i="5"/>
  <c r="D275" i="5"/>
  <c r="D276" i="5"/>
  <c r="D277" i="5"/>
  <c r="D278" i="5"/>
  <c r="D279" i="5"/>
  <c r="D280" i="5"/>
  <c r="D281" i="5"/>
  <c r="D282" i="5"/>
  <c r="D283" i="5"/>
  <c r="D284" i="5"/>
  <c r="D285" i="5"/>
  <c r="D286" i="5"/>
  <c r="D287" i="5"/>
  <c r="D288" i="5"/>
  <c r="D289" i="5"/>
  <c r="D290" i="5"/>
  <c r="D291" i="5"/>
  <c r="D292" i="5"/>
  <c r="D293" i="5"/>
  <c r="D294" i="5"/>
  <c r="D295" i="5"/>
  <c r="D296" i="5"/>
  <c r="D297" i="5"/>
  <c r="D298" i="5"/>
  <c r="D299" i="5"/>
  <c r="D300" i="5"/>
  <c r="D301" i="5"/>
  <c r="D302" i="5"/>
  <c r="D303" i="5"/>
  <c r="D304" i="5"/>
  <c r="D305" i="5"/>
  <c r="D306" i="5"/>
  <c r="D307" i="5"/>
  <c r="D308" i="5"/>
  <c r="D309" i="5"/>
  <c r="D310" i="5"/>
  <c r="D311" i="5"/>
  <c r="D312" i="5"/>
  <c r="D313" i="5"/>
  <c r="D314" i="5"/>
  <c r="D315" i="5"/>
  <c r="D316" i="5"/>
  <c r="D317" i="5"/>
  <c r="D318" i="5"/>
  <c r="D319" i="5"/>
  <c r="D320" i="5"/>
  <c r="D321" i="5"/>
  <c r="D322" i="5"/>
  <c r="D323" i="5"/>
  <c r="D324" i="5"/>
  <c r="D325" i="5"/>
  <c r="D326" i="5"/>
  <c r="D327" i="5"/>
  <c r="D328" i="5"/>
  <c r="D329" i="5"/>
  <c r="D330" i="5"/>
  <c r="D331" i="5"/>
  <c r="D332" i="5"/>
  <c r="D333" i="5"/>
  <c r="D334" i="5"/>
  <c r="D335" i="5"/>
  <c r="D336" i="5"/>
  <c r="D337" i="5"/>
  <c r="D338" i="5"/>
  <c r="D339" i="5"/>
  <c r="D340" i="5"/>
  <c r="D341" i="5"/>
  <c r="D342" i="5"/>
  <c r="D343" i="5"/>
  <c r="D344" i="5"/>
  <c r="D345" i="5"/>
  <c r="D346" i="5"/>
  <c r="D347" i="5"/>
  <c r="D348" i="5"/>
  <c r="D349" i="5"/>
  <c r="D350" i="5"/>
  <c r="D351" i="5"/>
  <c r="D352" i="5"/>
  <c r="D353" i="5"/>
  <c r="D354" i="5"/>
  <c r="D355" i="5"/>
  <c r="D356" i="5"/>
  <c r="D357" i="5"/>
  <c r="D358" i="5"/>
  <c r="D359" i="5"/>
  <c r="D360" i="5"/>
  <c r="D361" i="5"/>
  <c r="D362" i="5"/>
  <c r="D363" i="5"/>
  <c r="D364" i="5"/>
  <c r="D365" i="5"/>
  <c r="D366" i="5"/>
  <c r="D367" i="5"/>
  <c r="D368" i="5"/>
  <c r="D369" i="5"/>
  <c r="D370" i="5"/>
  <c r="D371" i="5"/>
  <c r="D372" i="5"/>
  <c r="D373" i="5"/>
  <c r="D374" i="5"/>
  <c r="D375" i="5"/>
  <c r="D376" i="5"/>
  <c r="D377" i="5"/>
  <c r="D378" i="5"/>
  <c r="D379" i="5"/>
  <c r="D380" i="5"/>
  <c r="D381" i="5"/>
  <c r="D382" i="5"/>
  <c r="D383" i="5"/>
  <c r="D384" i="5"/>
  <c r="D385" i="5"/>
  <c r="D386" i="5"/>
  <c r="D387" i="5"/>
  <c r="D388" i="5"/>
  <c r="D389" i="5"/>
  <c r="D390" i="5"/>
  <c r="D391" i="5"/>
  <c r="D392" i="5"/>
  <c r="D393" i="5"/>
  <c r="D394" i="5"/>
  <c r="D395" i="5"/>
  <c r="D396" i="5"/>
  <c r="U11" i="5" l="1"/>
  <c r="U4" i="5"/>
</calcChain>
</file>

<file path=xl/sharedStrings.xml><?xml version="1.0" encoding="utf-8"?>
<sst xmlns="http://schemas.openxmlformats.org/spreadsheetml/2006/main" count="147" uniqueCount="112">
  <si>
    <t>F</t>
  </si>
  <si>
    <t>A</t>
  </si>
  <si>
    <t>MS</t>
  </si>
  <si>
    <t>StudentID</t>
  </si>
  <si>
    <t>Age</t>
  </si>
  <si>
    <t>Gender</t>
  </si>
  <si>
    <t>Ethnicity</t>
  </si>
  <si>
    <t>ParentalEducation</t>
  </si>
  <si>
    <t>StudyTimeWeekly</t>
  </si>
  <si>
    <t>Absences</t>
  </si>
  <si>
    <t>Tutoring</t>
  </si>
  <si>
    <t>ParentalSupport</t>
  </si>
  <si>
    <t>Extracurricular</t>
  </si>
  <si>
    <t>Sports</t>
  </si>
  <si>
    <t>Music</t>
  </si>
  <si>
    <t>Volunteering</t>
  </si>
  <si>
    <t>GPA</t>
  </si>
  <si>
    <t>GradeClass</t>
  </si>
  <si>
    <t>Gender Code</t>
  </si>
  <si>
    <t>Column1</t>
  </si>
  <si>
    <t>Grade</t>
  </si>
  <si>
    <t>Blank Values</t>
  </si>
  <si>
    <t>Duplicates=</t>
  </si>
  <si>
    <t>Vlookup</t>
  </si>
  <si>
    <t>1010 student Grade</t>
  </si>
  <si>
    <t>Index &amp; Match</t>
  </si>
  <si>
    <t>Failed student</t>
  </si>
  <si>
    <t>Mean</t>
  </si>
  <si>
    <t>Standard Error</t>
  </si>
  <si>
    <t>Median</t>
  </si>
  <si>
    <t>Mode</t>
  </si>
  <si>
    <t>Standard Deviation</t>
  </si>
  <si>
    <t>Sample Variance</t>
  </si>
  <si>
    <t>Kurtosis</t>
  </si>
  <si>
    <t>Skewness</t>
  </si>
  <si>
    <t>Range</t>
  </si>
  <si>
    <t>Minimum</t>
  </si>
  <si>
    <t>Maximum</t>
  </si>
  <si>
    <t>Sum</t>
  </si>
  <si>
    <t>Count</t>
  </si>
  <si>
    <t>Summarizing GPA</t>
  </si>
  <si>
    <t>SUMMARY OUTPUT</t>
  </si>
  <si>
    <t>Regression Statistics</t>
  </si>
  <si>
    <t>Multiple R</t>
  </si>
  <si>
    <t>R Square</t>
  </si>
  <si>
    <t>Adjusted R Square</t>
  </si>
  <si>
    <t>Observations</t>
  </si>
  <si>
    <t>ANOVA</t>
  </si>
  <si>
    <t>Regression</t>
  </si>
  <si>
    <t>Residual</t>
  </si>
  <si>
    <t>Total</t>
  </si>
  <si>
    <t>Intercept</t>
  </si>
  <si>
    <t>df</t>
  </si>
  <si>
    <t>SS</t>
  </si>
  <si>
    <t>Significance F</t>
  </si>
  <si>
    <t>Coefficients</t>
  </si>
  <si>
    <t>t Stat</t>
  </si>
  <si>
    <t>P-value</t>
  </si>
  <si>
    <t>Lower 95%</t>
  </si>
  <si>
    <t>Upper 95%</t>
  </si>
  <si>
    <t>Lower 95.0%</t>
  </si>
  <si>
    <t>Upper 95.0%</t>
  </si>
  <si>
    <t>X Variable 1</t>
  </si>
  <si>
    <t>Regression between Study time weekly and Grade Code</t>
  </si>
  <si>
    <t>Grand Total</t>
  </si>
  <si>
    <t>Female</t>
  </si>
  <si>
    <t>Male</t>
  </si>
  <si>
    <t>Average of GPA</t>
  </si>
  <si>
    <t>00</t>
  </si>
  <si>
    <t>01</t>
  </si>
  <si>
    <t>02</t>
  </si>
  <si>
    <t>03</t>
  </si>
  <si>
    <t>04</t>
  </si>
  <si>
    <t>05</t>
  </si>
  <si>
    <t>06</t>
  </si>
  <si>
    <t>07</t>
  </si>
  <si>
    <t>08</t>
  </si>
  <si>
    <t>09</t>
  </si>
  <si>
    <t>10</t>
  </si>
  <si>
    <t>11</t>
  </si>
  <si>
    <t>12</t>
  </si>
  <si>
    <t>13</t>
  </si>
  <si>
    <t>14</t>
  </si>
  <si>
    <t>15</t>
  </si>
  <si>
    <t>16</t>
  </si>
  <si>
    <t>17</t>
  </si>
  <si>
    <t>18</t>
  </si>
  <si>
    <t>19</t>
  </si>
  <si>
    <t>20</t>
  </si>
  <si>
    <t>21</t>
  </si>
  <si>
    <t>22</t>
  </si>
  <si>
    <t>23</t>
  </si>
  <si>
    <t>Count of StudentID</t>
  </si>
  <si>
    <t>0-2</t>
  </si>
  <si>
    <t>3-5</t>
  </si>
  <si>
    <t>6-8</t>
  </si>
  <si>
    <t>9-11</t>
  </si>
  <si>
    <t>12-14</t>
  </si>
  <si>
    <t>15-17</t>
  </si>
  <si>
    <t>18-20</t>
  </si>
  <si>
    <t>21-23</t>
  </si>
  <si>
    <t>24-26</t>
  </si>
  <si>
    <t>27-29</t>
  </si>
  <si>
    <t>Hours</t>
  </si>
  <si>
    <t>Ethicity</t>
  </si>
  <si>
    <t>Parental education</t>
  </si>
  <si>
    <t>Absense</t>
  </si>
  <si>
    <t>Extra Curricular</t>
  </si>
  <si>
    <t>Parental Support</t>
  </si>
  <si>
    <t>B</t>
  </si>
  <si>
    <t>C</t>
  </si>
  <si>
    <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</si>
</sst>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3" x14ac:knownFonts="1">
    <font>
      <sz val="11"/>
      <color theme="1"/>
      <name val="Aptos Narrow"/>
      <family val="2"/>
      <scheme val="minor"/>
    </font>
    <font>
      <b/>
      <sz val="11"/>
      <color theme="1"/>
      <name val="Aptos Narrow"/>
      <family val="2"/>
      <scheme val="minor"/>
    </font>
    <font>
      <i/>
      <sz val="11"/>
      <color theme="1"/>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0" fillId="0" borderId="0" xfId="0" applyAlignment="1">
      <alignment horizontal="center" vertical="center"/>
    </xf>
    <xf numFmtId="164" fontId="0" fillId="0" borderId="0" xfId="0" applyNumberFormat="1" applyAlignment="1">
      <alignment horizontal="center" vertical="center"/>
    </xf>
    <xf numFmtId="2" fontId="0" fillId="0" borderId="0" xfId="0" applyNumberFormat="1" applyAlignment="1">
      <alignment horizontal="center" vertical="center"/>
    </xf>
    <xf numFmtId="0" fontId="0" fillId="0" borderId="1" xfId="0" applyBorder="1"/>
    <xf numFmtId="0" fontId="0" fillId="0" borderId="1" xfId="0" applyBorder="1" applyAlignment="1">
      <alignment horizontal="left" vertical="center"/>
    </xf>
    <xf numFmtId="0" fontId="2" fillId="0" borderId="1" xfId="0" applyFont="1" applyBorder="1" applyAlignment="1">
      <alignment horizontal="left" vertical="center"/>
    </xf>
    <xf numFmtId="0" fontId="0" fillId="0" borderId="1" xfId="0" applyBorder="1" applyAlignment="1">
      <alignment horizontal="centerContinuous"/>
    </xf>
    <xf numFmtId="0" fontId="2" fillId="0" borderId="1" xfId="0" applyFont="1" applyBorder="1" applyAlignment="1">
      <alignment horizontal="centerContinuous"/>
    </xf>
    <xf numFmtId="0" fontId="2" fillId="0" borderId="1" xfId="0" applyFont="1" applyBorder="1" applyAlignment="1">
      <alignment horizontal="center"/>
    </xf>
    <xf numFmtId="0" fontId="0" fillId="0" borderId="0" xfId="0" pivotButton="1"/>
    <xf numFmtId="0" fontId="0" fillId="0" borderId="0" xfId="0" applyAlignment="1">
      <alignment horizontal="left"/>
    </xf>
    <xf numFmtId="2" fontId="0" fillId="0" borderId="0" xfId="0" applyNumberFormat="1"/>
    <xf numFmtId="0" fontId="1" fillId="0" borderId="0" xfId="0" applyFont="1"/>
  </cellXfs>
  <cellStyles count="1">
    <cellStyle name="Normal" xfId="0" builtinId="0"/>
  </cellStyles>
  <dxfs count="19">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64" formatCode="[$-F400]h:mm:ss\ AM/PM"/>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microsoft.com/office/2017/10/relationships/person" Target="persons/perso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[Devanshi_Student_Performance_Excel_Analysis.xlsx]Pivot Table!ParentalEDU/GPA</c:name>
    <c:fmtId val="19"/>
  </c:pivotSource>
  <c:chart>
    <c:title>
      <c:tx>
        <c:rich>
          <a:bodyPr rot="0" spcFirstLastPara="1" vertOverflow="ellipsis" vert="horz" wrap="square" anchor="ctr" anchorCtr="1"/>
          <a:lstStyle/>
          <a:p>
            <a:pPr>
              <a:defRPr sz="1400" b="1" i="0" u="none" strike="noStrike" kern="1200" spc="0" baseline="0">
                <a:solidFill>
                  <a:schemeClr val="tx1">
                    <a:lumMod val="85000"/>
                    <a:lumOff val="15000"/>
                  </a:schemeClr>
                </a:solidFill>
                <a:latin typeface="+mn-lt"/>
                <a:ea typeface="+mn-ea"/>
                <a:cs typeface="+mn-cs"/>
              </a:defRPr>
            </a:pPr>
            <a:r>
              <a:rPr lang="en-US" b="1">
                <a:solidFill>
                  <a:schemeClr val="tx1">
                    <a:lumMod val="85000"/>
                    <a:lumOff val="15000"/>
                  </a:schemeClr>
                </a:solidFill>
              </a:rPr>
              <a:t>Avg GPA by Parental</a:t>
            </a:r>
            <a:r>
              <a:rPr lang="en-US" b="1" baseline="0">
                <a:solidFill>
                  <a:schemeClr val="tx1">
                    <a:lumMod val="85000"/>
                    <a:lumOff val="15000"/>
                  </a:schemeClr>
                </a:solidFill>
              </a:rPr>
              <a:t> education </a:t>
            </a:r>
            <a:endParaRPr lang="en-US" b="1">
              <a:solidFill>
                <a:schemeClr val="tx1">
                  <a:lumMod val="85000"/>
                  <a:lumOff val="15000"/>
                </a:schemeClr>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85000"/>
                  <a:lumOff val="1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Table'!$G$11</c:f>
              <c:strCache>
                <c:ptCount val="1"/>
                <c:pt idx="0">
                  <c:v>Total</c:v>
                </c:pt>
              </c:strCache>
            </c:strRef>
          </c:tx>
          <c:spPr>
            <a:solidFill>
              <a:schemeClr val="accent1"/>
            </a:solidFill>
            <a:ln>
              <a:noFill/>
            </a:ln>
            <a:effectLst/>
          </c:spPr>
          <c:invertIfNegative val="0"/>
          <c:cat>
            <c:strRef>
              <c:f>'Pivot Table'!$F$12:$F$17</c:f>
              <c:strCache>
                <c:ptCount val="5"/>
                <c:pt idx="0">
                  <c:v>0</c:v>
                </c:pt>
                <c:pt idx="1">
                  <c:v>1</c:v>
                </c:pt>
                <c:pt idx="2">
                  <c:v>2</c:v>
                </c:pt>
                <c:pt idx="3">
                  <c:v>3</c:v>
                </c:pt>
                <c:pt idx="4">
                  <c:v>4</c:v>
                </c:pt>
              </c:strCache>
            </c:strRef>
          </c:cat>
          <c:val>
            <c:numRef>
              <c:f>'Pivot Table'!$G$12:$G$17</c:f>
              <c:numCache>
                <c:formatCode>0.00</c:formatCode>
                <c:ptCount val="5"/>
                <c:pt idx="0">
                  <c:v>1.9448005025950406</c:v>
                </c:pt>
                <c:pt idx="1">
                  <c:v>1.8994547299971514</c:v>
                </c:pt>
                <c:pt idx="2">
                  <c:v>2.0934743429992606</c:v>
                </c:pt>
                <c:pt idx="3">
                  <c:v>1.7987284030628961</c:v>
                </c:pt>
                <c:pt idx="4">
                  <c:v>1.6256395649715849</c:v>
                </c:pt>
              </c:numCache>
            </c:numRef>
          </c:val>
          <c:extLst>
            <c:ext xmlns:c16="http://schemas.microsoft.com/office/drawing/2014/chart" uri="{C3380CC4-5D6E-409C-BE32-E72D297353CC}">
              <c16:uniqueId val="{00000000-C01C-41A2-AFEE-AD23C1EB21AC}"/>
            </c:ext>
          </c:extLst>
        </c:ser>
        <c:dLbls>
          <c:showLegendKey val="0"/>
          <c:showVal val="0"/>
          <c:showCatName val="0"/>
          <c:showSerName val="0"/>
          <c:showPercent val="0"/>
          <c:showBubbleSize val="0"/>
        </c:dLbls>
        <c:gapWidth val="150"/>
        <c:overlap val="100"/>
        <c:axId val="1722603967"/>
        <c:axId val="1812557215"/>
      </c:barChart>
      <c:catAx>
        <c:axId val="17226039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2557215"/>
        <c:crosses val="autoZero"/>
        <c:auto val="1"/>
        <c:lblAlgn val="ctr"/>
        <c:lblOffset val="100"/>
        <c:noMultiLvlLbl val="0"/>
      </c:catAx>
      <c:valAx>
        <c:axId val="1812557215"/>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2603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[Devanshi_Student_Performance_Excel_Analysis.xlsx]Pivot Table!Gender/Ethics/gpa</c:name>
    <c:fmtId val="3"/>
  </c:pivotSource>
  <c:chart>
    <c:title>
      <c:tx>
        <c:rich>
          <a:bodyPr rot="0" spcFirstLastPara="1" vertOverflow="ellipsis" vert="horz" wrap="square" anchor="ctr" anchorCtr="1"/>
          <a:lstStyle/>
          <a:p>
            <a:pPr algn="ctr" rtl="0">
              <a:defRPr lang="en-IN" sz="1400" b="1" i="0" u="none" strike="noStrike" kern="1200" spc="0" baseline="0">
                <a:solidFill>
                  <a:schemeClr val="tx1">
                    <a:lumMod val="85000"/>
                    <a:lumOff val="15000"/>
                  </a:schemeClr>
                </a:solidFill>
                <a:latin typeface="+mn-lt"/>
                <a:ea typeface="+mn-ea"/>
                <a:cs typeface="+mn-cs"/>
              </a:defRPr>
            </a:pPr>
            <a:r>
              <a:rPr lang="en-IN" sz="1400" b="1" i="0" u="none" strike="noStrike" kern="1200" spc="0" baseline="0">
                <a:solidFill>
                  <a:schemeClr val="tx1">
                    <a:lumMod val="85000"/>
                    <a:lumOff val="15000"/>
                  </a:schemeClr>
                </a:solidFill>
                <a:latin typeface="+mn-lt"/>
                <a:ea typeface="+mn-ea"/>
                <a:cs typeface="+mn-cs"/>
              </a:rPr>
              <a:t>GPA by Gender and Ethicity</a:t>
            </a:r>
          </a:p>
        </c:rich>
      </c:tx>
      <c:overlay val="0"/>
      <c:spPr>
        <a:noFill/>
        <a:ln>
          <a:noFill/>
        </a:ln>
        <a:effectLst/>
      </c:spPr>
      <c:txPr>
        <a:bodyPr rot="0" spcFirstLastPara="1" vertOverflow="ellipsis" vert="horz" wrap="square" anchor="ctr" anchorCtr="1"/>
        <a:lstStyle/>
        <a:p>
          <a:pPr algn="ctr" rtl="0">
            <a:defRPr lang="en-IN" sz="1400" b="1" i="0" u="none" strike="noStrike" kern="1200" spc="0" baseline="0">
              <a:solidFill>
                <a:schemeClr val="tx1">
                  <a:lumMod val="85000"/>
                  <a:lumOff val="1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Table'!$G$2:$G$3</c:f>
              <c:strCache>
                <c:ptCount val="1"/>
                <c:pt idx="0">
                  <c:v>Female</c:v>
                </c:pt>
              </c:strCache>
            </c:strRef>
          </c:tx>
          <c:spPr>
            <a:solidFill>
              <a:schemeClr val="accent1"/>
            </a:solidFill>
            <a:ln>
              <a:noFill/>
            </a:ln>
            <a:effectLst/>
          </c:spPr>
          <c:invertIfNegative val="0"/>
          <c:cat>
            <c:strRef>
              <c:f>'Pivot Table'!$F$4:$F$8</c:f>
              <c:strCache>
                <c:ptCount val="4"/>
                <c:pt idx="0">
                  <c:v>0</c:v>
                </c:pt>
                <c:pt idx="1">
                  <c:v>1</c:v>
                </c:pt>
                <c:pt idx="2">
                  <c:v>2</c:v>
                </c:pt>
                <c:pt idx="3">
                  <c:v>3</c:v>
                </c:pt>
              </c:strCache>
            </c:strRef>
          </c:cat>
          <c:val>
            <c:numRef>
              <c:f>'Pivot Table'!$G$4:$G$8</c:f>
              <c:numCache>
                <c:formatCode>0.00</c:formatCode>
                <c:ptCount val="4"/>
                <c:pt idx="0">
                  <c:v>2.0685127441165054</c:v>
                </c:pt>
                <c:pt idx="1">
                  <c:v>1.8674539269615882</c:v>
                </c:pt>
                <c:pt idx="2">
                  <c:v>1.9157272909862495</c:v>
                </c:pt>
                <c:pt idx="3">
                  <c:v>1.6749695286079744</c:v>
                </c:pt>
              </c:numCache>
            </c:numRef>
          </c:val>
          <c:extLst>
            <c:ext xmlns:c16="http://schemas.microsoft.com/office/drawing/2014/chart" uri="{C3380CC4-5D6E-409C-BE32-E72D297353CC}">
              <c16:uniqueId val="{00000000-07BF-4582-BB2A-B1B73CA3F578}"/>
            </c:ext>
          </c:extLst>
        </c:ser>
        <c:ser>
          <c:idx val="1"/>
          <c:order val="1"/>
          <c:tx>
            <c:strRef>
              <c:f>'Pivot Table'!$H$2:$H$3</c:f>
              <c:strCache>
                <c:ptCount val="1"/>
                <c:pt idx="0">
                  <c:v>Male</c:v>
                </c:pt>
              </c:strCache>
            </c:strRef>
          </c:tx>
          <c:spPr>
            <a:solidFill>
              <a:schemeClr val="accent2"/>
            </a:solidFill>
            <a:ln>
              <a:noFill/>
            </a:ln>
            <a:effectLst/>
          </c:spPr>
          <c:invertIfNegative val="0"/>
          <c:cat>
            <c:strRef>
              <c:f>'Pivot Table'!$F$4:$F$8</c:f>
              <c:strCache>
                <c:ptCount val="4"/>
                <c:pt idx="0">
                  <c:v>0</c:v>
                </c:pt>
                <c:pt idx="1">
                  <c:v>1</c:v>
                </c:pt>
                <c:pt idx="2">
                  <c:v>2</c:v>
                </c:pt>
                <c:pt idx="3">
                  <c:v>3</c:v>
                </c:pt>
              </c:strCache>
            </c:strRef>
          </c:cat>
          <c:val>
            <c:numRef>
              <c:f>'Pivot Table'!$H$4:$H$8</c:f>
              <c:numCache>
                <c:formatCode>0.00</c:formatCode>
                <c:ptCount val="4"/>
                <c:pt idx="0">
                  <c:v>1.9299536909548114</c:v>
                </c:pt>
                <c:pt idx="1">
                  <c:v>2.0792465533689732</c:v>
                </c:pt>
                <c:pt idx="2">
                  <c:v>1.8912622150059362</c:v>
                </c:pt>
                <c:pt idx="3">
                  <c:v>1.7538923951209806</c:v>
                </c:pt>
              </c:numCache>
            </c:numRef>
          </c:val>
          <c:extLst>
            <c:ext xmlns:c16="http://schemas.microsoft.com/office/drawing/2014/chart" uri="{C3380CC4-5D6E-409C-BE32-E72D297353CC}">
              <c16:uniqueId val="{00000001-587A-411C-A178-326856C0180F}"/>
            </c:ext>
          </c:extLst>
        </c:ser>
        <c:dLbls>
          <c:showLegendKey val="0"/>
          <c:showVal val="0"/>
          <c:showCatName val="0"/>
          <c:showSerName val="0"/>
          <c:showPercent val="0"/>
          <c:showBubbleSize val="0"/>
        </c:dLbls>
        <c:gapWidth val="219"/>
        <c:overlap val="-27"/>
        <c:axId val="1947429471"/>
        <c:axId val="1947423711"/>
      </c:barChart>
      <c:catAx>
        <c:axId val="1947429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947423711"/>
        <c:crosses val="autoZero"/>
        <c:auto val="1"/>
        <c:lblAlgn val="ctr"/>
        <c:lblOffset val="100"/>
        <c:noMultiLvlLbl val="0"/>
      </c:catAx>
      <c:valAx>
        <c:axId val="194742371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947429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[Devanshi_Student_Performance_Excel_Analysis.xlsx]Pivot Table!Studytime/gpa</c:name>
    <c:fmtId val="22"/>
  </c:pivotSource>
  <c:chart>
    <c:title>
      <c:tx>
        <c:rich>
          <a:bodyPr rot="0" spcFirstLastPara="1" vertOverflow="ellipsis" vert="horz" wrap="square" anchor="ctr" anchorCtr="1"/>
          <a:lstStyle/>
          <a:p>
            <a:pPr algn="ctr" rtl="0">
              <a:defRPr lang="en-IN" sz="1400" b="1" i="0" u="none" strike="noStrike" kern="1200" spc="0" baseline="0">
                <a:solidFill>
                  <a:schemeClr val="tx1">
                    <a:lumMod val="85000"/>
                    <a:lumOff val="15000"/>
                  </a:schemeClr>
                </a:solidFill>
                <a:latin typeface="+mn-lt"/>
                <a:ea typeface="+mn-ea"/>
                <a:cs typeface="+mn-cs"/>
              </a:defRPr>
            </a:pPr>
            <a:r>
              <a:rPr lang="en-IN" sz="1400" b="1" i="0" u="none" strike="noStrike" kern="1200" spc="0" baseline="0">
                <a:solidFill>
                  <a:schemeClr val="tx1">
                    <a:lumMod val="85000"/>
                    <a:lumOff val="15000"/>
                  </a:schemeClr>
                </a:solidFill>
                <a:latin typeface="+mn-lt"/>
                <a:ea typeface="+mn-ea"/>
                <a:cs typeface="+mn-cs"/>
              </a:rPr>
              <a:t>Studytime wise GPA</a:t>
            </a:r>
          </a:p>
        </c:rich>
      </c:tx>
      <c:overlay val="0"/>
      <c:spPr>
        <a:noFill/>
        <a:ln>
          <a:noFill/>
        </a:ln>
        <a:effectLst/>
      </c:spPr>
      <c:txPr>
        <a:bodyPr rot="0" spcFirstLastPara="1" vertOverflow="ellipsis" vert="horz" wrap="square" anchor="ctr" anchorCtr="1"/>
        <a:lstStyle/>
        <a:p>
          <a:pPr algn="ctr" rtl="0">
            <a:defRPr lang="en-IN" sz="1400" b="1" i="0" u="none" strike="noStrike" kern="1200" spc="0" baseline="0">
              <a:solidFill>
                <a:schemeClr val="tx1">
                  <a:lumMod val="85000"/>
                  <a:lumOff val="1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Table'!$B$3:$B$27</c:f>
              <c:strCache>
                <c:ptCount val="24"/>
                <c:pt idx="0">
                  <c:v>00</c:v>
                </c:pt>
                <c:pt idx="1">
                  <c:v>01</c:v>
                </c:pt>
                <c:pt idx="2">
                  <c:v>02</c:v>
                </c:pt>
                <c:pt idx="3">
                  <c:v>03</c:v>
                </c:pt>
                <c:pt idx="4">
                  <c:v>04</c:v>
                </c:pt>
                <c:pt idx="5">
                  <c:v>05</c:v>
                </c:pt>
                <c:pt idx="6">
                  <c:v>06</c:v>
                </c:pt>
                <c:pt idx="7">
                  <c:v>07</c:v>
                </c:pt>
                <c:pt idx="8">
                  <c:v>08</c:v>
                </c:pt>
                <c:pt idx="9">
                  <c:v>09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 Table'!$C$3:$C$27</c:f>
              <c:numCache>
                <c:formatCode>0.00</c:formatCode>
                <c:ptCount val="24"/>
                <c:pt idx="0">
                  <c:v>1.8144859785214529</c:v>
                </c:pt>
                <c:pt idx="1">
                  <c:v>1.5860774686759247</c:v>
                </c:pt>
                <c:pt idx="2">
                  <c:v>1.9318726538999642</c:v>
                </c:pt>
                <c:pt idx="3">
                  <c:v>1.5978080754809747</c:v>
                </c:pt>
                <c:pt idx="4">
                  <c:v>2.1690814861659589</c:v>
                </c:pt>
                <c:pt idx="5">
                  <c:v>2.0322458711697484</c:v>
                </c:pt>
                <c:pt idx="6">
                  <c:v>1.912389319779676</c:v>
                </c:pt>
                <c:pt idx="7">
                  <c:v>2.0875930504794344</c:v>
                </c:pt>
                <c:pt idx="8">
                  <c:v>1.8086421247956612</c:v>
                </c:pt>
                <c:pt idx="9">
                  <c:v>1.8433321132322111</c:v>
                </c:pt>
                <c:pt idx="10">
                  <c:v>1.8606611779305029</c:v>
                </c:pt>
                <c:pt idx="11">
                  <c:v>1.9406500353180991</c:v>
                </c:pt>
                <c:pt idx="12">
                  <c:v>1.6272898166390597</c:v>
                </c:pt>
                <c:pt idx="13">
                  <c:v>2.0412838593204592</c:v>
                </c:pt>
                <c:pt idx="14">
                  <c:v>1.8475540763021623</c:v>
                </c:pt>
                <c:pt idx="15">
                  <c:v>1.5806260480483514</c:v>
                </c:pt>
                <c:pt idx="16">
                  <c:v>1.9545470725181981</c:v>
                </c:pt>
                <c:pt idx="17">
                  <c:v>2.140083757500653</c:v>
                </c:pt>
                <c:pt idx="18">
                  <c:v>2.1293054286007282</c:v>
                </c:pt>
                <c:pt idx="19">
                  <c:v>1.8873788177365411</c:v>
                </c:pt>
                <c:pt idx="20">
                  <c:v>1.9637285324429323</c:v>
                </c:pt>
                <c:pt idx="21">
                  <c:v>1.9139697608498862</c:v>
                </c:pt>
                <c:pt idx="22">
                  <c:v>2.4183549754969729</c:v>
                </c:pt>
                <c:pt idx="23">
                  <c:v>2.4182206320844841</c:v>
                </c:pt>
              </c:numCache>
            </c:numRef>
          </c:val>
          <c:smooth val="0"/>
          <c:extLst>
            <c:ext xmlns:c16="http://schemas.microsoft.com/office/drawing/2014/chart" uri="{C3380CC4-5D6E-409C-BE32-E72D297353CC}">
              <c16:uniqueId val="{00000000-5F62-4C78-8E3D-C955EF6CBF2E}"/>
            </c:ext>
          </c:extLst>
        </c:ser>
        <c:dLbls>
          <c:showLegendKey val="0"/>
          <c:showVal val="0"/>
          <c:showCatName val="0"/>
          <c:showSerName val="0"/>
          <c:showPercent val="0"/>
          <c:showBubbleSize val="0"/>
        </c:dLbls>
        <c:marker val="1"/>
        <c:smooth val="0"/>
        <c:axId val="1909872511"/>
        <c:axId val="1909866751"/>
      </c:lineChart>
      <c:catAx>
        <c:axId val="1909872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9866751"/>
        <c:crosses val="autoZero"/>
        <c:auto val="1"/>
        <c:lblAlgn val="ctr"/>
        <c:lblOffset val="100"/>
        <c:noMultiLvlLbl val="0"/>
      </c:catAx>
      <c:valAx>
        <c:axId val="190986675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9872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[Devanshi_Student_Performance_Excel_Analysis.xlsx]Pivot Table!Total students by grade</c:name>
    <c:fmtId val="29"/>
  </c:pivotSource>
  <c:chart>
    <c:title>
      <c:tx>
        <c:rich>
          <a:bodyPr rot="0" spcFirstLastPara="1" vertOverflow="ellipsis" vert="horz" wrap="square" anchor="ctr" anchorCtr="1"/>
          <a:lstStyle/>
          <a:p>
            <a:pPr algn="ctr" rtl="0">
              <a:defRPr lang="en-IN" sz="1400" b="1" i="0" u="none" strike="noStrike" kern="1200" spc="0" baseline="0">
                <a:solidFill>
                  <a:schemeClr val="tx1">
                    <a:lumMod val="85000"/>
                    <a:lumOff val="15000"/>
                  </a:schemeClr>
                </a:solidFill>
                <a:latin typeface="+mn-lt"/>
                <a:ea typeface="+mn-ea"/>
                <a:cs typeface="+mn-cs"/>
              </a:defRPr>
            </a:pPr>
            <a:r>
              <a:rPr lang="en-IN" sz="1400" b="1" i="0" u="none" strike="noStrike" kern="1200" spc="0" baseline="0">
                <a:solidFill>
                  <a:schemeClr val="tx1">
                    <a:lumMod val="85000"/>
                    <a:lumOff val="15000"/>
                  </a:schemeClr>
                </a:solidFill>
                <a:latin typeface="+mn-lt"/>
                <a:ea typeface="+mn-ea"/>
                <a:cs typeface="+mn-cs"/>
              </a:rPr>
              <a:t>Total stodents by Grade</a:t>
            </a:r>
          </a:p>
        </c:rich>
      </c:tx>
      <c:overlay val="0"/>
      <c:spPr>
        <a:noFill/>
        <a:ln>
          <a:noFill/>
        </a:ln>
        <a:effectLst/>
      </c:spPr>
      <c:txPr>
        <a:bodyPr rot="0" spcFirstLastPara="1" vertOverflow="ellipsis" vert="horz" wrap="square" anchor="ctr" anchorCtr="1"/>
        <a:lstStyle/>
        <a:p>
          <a:pPr algn="ctr" rtl="0">
            <a:defRPr lang="en-IN" sz="1400" b="1" i="0" u="none" strike="noStrike" kern="1200" spc="0" baseline="0">
              <a:solidFill>
                <a:schemeClr val="tx1">
                  <a:lumMod val="85000"/>
                  <a:lumOff val="1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doughnutChart>
        <c:varyColors val="1"/>
        <c:ser>
          <c:idx val="0"/>
          <c:order val="0"/>
          <c:tx>
            <c:strRef>
              <c:f>'Pivot Table'!$L$2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5FB-4D04-AD69-200C4AF5811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5FB-4D04-AD69-200C4AF5811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5FB-4D04-AD69-200C4AF5811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5FB-4D04-AD69-200C4AF5811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5FB-4D04-AD69-200C4AF5811C}"/>
              </c:ext>
            </c:extLst>
          </c:dPt>
          <c:cat>
            <c:strRef>
              <c:f>'Pivot Table'!$K$3:$K$8</c:f>
              <c:strCache>
                <c:ptCount val="5"/>
                <c:pt idx="0">
                  <c:v>A</c:v>
                </c:pt>
                <c:pt idx="1">
                  <c:v>B</c:v>
                </c:pt>
                <c:pt idx="2">
                  <c:v>C</c:v>
                </c:pt>
                <c:pt idx="3">
                  <c:v>D</c:v>
                </c:pt>
                <c:pt idx="4">
                  <c:v>F</c:v>
                </c:pt>
              </c:strCache>
            </c:strRef>
          </c:cat>
          <c:val>
            <c:numRef>
              <c:f>'Pivot Table'!$L$3:$L$8</c:f>
              <c:numCache>
                <c:formatCode>General</c:formatCode>
                <c:ptCount val="5"/>
                <c:pt idx="0">
                  <c:v>197</c:v>
                </c:pt>
                <c:pt idx="1">
                  <c:v>68</c:v>
                </c:pt>
                <c:pt idx="2">
                  <c:v>78</c:v>
                </c:pt>
                <c:pt idx="3">
                  <c:v>40</c:v>
                </c:pt>
                <c:pt idx="4">
                  <c:v>12</c:v>
                </c:pt>
              </c:numCache>
            </c:numRef>
          </c:val>
          <c:extLst>
            <c:ext xmlns:c16="http://schemas.microsoft.com/office/drawing/2014/chart" uri="{C3380CC4-5D6E-409C-BE32-E72D297353CC}">
              <c16:uniqueId val="{0000000A-05FB-4D04-AD69-200C4AF5811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15240</xdr:colOff>
      <xdr:row>0</xdr:row>
      <xdr:rowOff>15240</xdr:rowOff>
    </xdr:from>
    <xdr:to>
      <xdr:col>29</xdr:col>
      <xdr:colOff>594360</xdr:colOff>
      <xdr:row>54</xdr:row>
      <xdr:rowOff>137160</xdr:rowOff>
    </xdr:to>
    <xdr:sp macro="" textlink="">
      <xdr:nvSpPr>
        <xdr:cNvPr id="3" name="Rectangle 2">
          <a:extLst>
            <a:ext uri="{FF2B5EF4-FFF2-40B4-BE49-F238E27FC236}">
              <a16:creationId xmlns:a16="http://schemas.microsoft.com/office/drawing/2014/main" id="{5A9DE436-9D4D-70EC-C104-C8C9B02DEC8C}"/>
            </a:ext>
          </a:extLst>
        </xdr:cNvPr>
        <xdr:cNvSpPr/>
      </xdr:nvSpPr>
      <xdr:spPr>
        <a:xfrm>
          <a:off x="15240" y="15240"/>
          <a:ext cx="18257520" cy="9997440"/>
        </a:xfrm>
        <a:prstGeom prst="rect">
          <a:avLst/>
        </a:prstGeom>
        <a:solidFill>
          <a:schemeClr val="accent6">
            <a:lumMod val="40000"/>
            <a:lumOff val="60000"/>
          </a:schemeClr>
        </a:solidFill>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121920</xdr:colOff>
      <xdr:row>0</xdr:row>
      <xdr:rowOff>91440</xdr:rowOff>
    </xdr:from>
    <xdr:to>
      <xdr:col>29</xdr:col>
      <xdr:colOff>441960</xdr:colOff>
      <xdr:row>4</xdr:row>
      <xdr:rowOff>121920</xdr:rowOff>
    </xdr:to>
    <xdr:sp macro="" textlink="">
      <xdr:nvSpPr>
        <xdr:cNvPr id="4" name="Rectangle: Rounded Corners 3">
          <a:extLst>
            <a:ext uri="{FF2B5EF4-FFF2-40B4-BE49-F238E27FC236}">
              <a16:creationId xmlns:a16="http://schemas.microsoft.com/office/drawing/2014/main" id="{6C47B426-B356-A490-413E-98A26055D83B}"/>
            </a:ext>
          </a:extLst>
        </xdr:cNvPr>
        <xdr:cNvSpPr/>
      </xdr:nvSpPr>
      <xdr:spPr>
        <a:xfrm>
          <a:off x="121920" y="91440"/>
          <a:ext cx="17998440" cy="762000"/>
        </a:xfrm>
        <a:prstGeom prst="round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IN" sz="4800" b="1">
              <a:latin typeface="Arial Narrow" panose="020B0606020202030204" pitchFamily="34" charset="0"/>
            </a:rPr>
            <a:t>Student Perfomence Dashboard</a:t>
          </a:r>
        </a:p>
      </xdr:txBody>
    </xdr:sp>
    <xdr:clientData/>
  </xdr:twoCellAnchor>
  <xdr:twoCellAnchor>
    <xdr:from>
      <xdr:col>0</xdr:col>
      <xdr:colOff>137160</xdr:colOff>
      <xdr:row>5</xdr:row>
      <xdr:rowOff>91440</xdr:rowOff>
    </xdr:from>
    <xdr:to>
      <xdr:col>29</xdr:col>
      <xdr:colOff>457200</xdr:colOff>
      <xdr:row>12</xdr:row>
      <xdr:rowOff>0</xdr:rowOff>
    </xdr:to>
    <xdr:sp macro="" textlink="">
      <xdr:nvSpPr>
        <xdr:cNvPr id="5" name="Rectangle: Rounded Corners 4">
          <a:extLst>
            <a:ext uri="{FF2B5EF4-FFF2-40B4-BE49-F238E27FC236}">
              <a16:creationId xmlns:a16="http://schemas.microsoft.com/office/drawing/2014/main" id="{D2DA22CB-0819-683B-59CA-96B20059466A}"/>
            </a:ext>
          </a:extLst>
        </xdr:cNvPr>
        <xdr:cNvSpPr/>
      </xdr:nvSpPr>
      <xdr:spPr>
        <a:xfrm>
          <a:off x="137160" y="1005840"/>
          <a:ext cx="17998440" cy="1188720"/>
        </a:xfrm>
        <a:prstGeom prst="roundRect">
          <a:avLst>
            <a:gd name="adj" fmla="val 5556"/>
          </a:avLst>
        </a:prstGeom>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411480</xdr:colOff>
      <xdr:row>6</xdr:row>
      <xdr:rowOff>91440</xdr:rowOff>
    </xdr:from>
    <xdr:to>
      <xdr:col>8</xdr:col>
      <xdr:colOff>563880</xdr:colOff>
      <xdr:row>11</xdr:row>
      <xdr:rowOff>0</xdr:rowOff>
    </xdr:to>
    <mc:AlternateContent xmlns:mc="http://schemas.openxmlformats.org/markup-compatibility/2006" xmlns:a14="http://schemas.microsoft.com/office/drawing/2010/main">
      <mc:Choice Requires="a14">
        <xdr:graphicFrame macro="">
          <xdr:nvGraphicFramePr>
            <xdr:cNvPr id="6" name="Gender">
              <a:extLst>
                <a:ext uri="{FF2B5EF4-FFF2-40B4-BE49-F238E27FC236}">
                  <a16:creationId xmlns:a16="http://schemas.microsoft.com/office/drawing/2014/main" id="{DB04C13C-F405-4C03-B1D4-64561B4B4CBA}"/>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411480" y="1188720"/>
              <a:ext cx="5029200" cy="8229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416636</xdr:colOff>
      <xdr:row>6</xdr:row>
      <xdr:rowOff>91440</xdr:rowOff>
    </xdr:from>
    <xdr:to>
      <xdr:col>18</xdr:col>
      <xdr:colOff>592339</xdr:colOff>
      <xdr:row>11</xdr:row>
      <xdr:rowOff>0</xdr:rowOff>
    </xdr:to>
    <mc:AlternateContent xmlns:mc="http://schemas.openxmlformats.org/markup-compatibility/2006" xmlns:a14="http://schemas.microsoft.com/office/drawing/2010/main">
      <mc:Choice Requires="a14">
        <xdr:graphicFrame macro="">
          <xdr:nvGraphicFramePr>
            <xdr:cNvPr id="7" name="ParentalEducation">
              <a:extLst>
                <a:ext uri="{FF2B5EF4-FFF2-40B4-BE49-F238E27FC236}">
                  <a16:creationId xmlns:a16="http://schemas.microsoft.com/office/drawing/2014/main" id="{6224994A-3DA5-4612-BD23-A47D22A6A3E6}"/>
                </a:ext>
              </a:extLst>
            </xdr:cNvPr>
            <xdr:cNvGraphicFramePr/>
          </xdr:nvGraphicFramePr>
          <xdr:xfrm>
            <a:off x="0" y="0"/>
            <a:ext cx="0" cy="0"/>
          </xdr:xfrm>
          <a:graphic>
            <a:graphicData uri="http://schemas.microsoft.com/office/drawing/2010/slicer">
              <sle:slicer xmlns:sle="http://schemas.microsoft.com/office/drawing/2010/slicer" name="ParentalEducation"/>
            </a:graphicData>
          </a:graphic>
        </xdr:graphicFrame>
      </mc:Choice>
      <mc:Fallback xmlns="">
        <xdr:sp macro="" textlink="">
          <xdr:nvSpPr>
            <xdr:cNvPr id="0" name=""/>
            <xdr:cNvSpPr>
              <a:spLocks noTextEdit="1"/>
            </xdr:cNvSpPr>
          </xdr:nvSpPr>
          <xdr:spPr>
            <a:xfrm>
              <a:off x="5903036" y="1188720"/>
              <a:ext cx="5662103" cy="8229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460490</xdr:colOff>
      <xdr:row>6</xdr:row>
      <xdr:rowOff>91440</xdr:rowOff>
    </xdr:from>
    <xdr:to>
      <xdr:col>29</xdr:col>
      <xdr:colOff>250940</xdr:colOff>
      <xdr:row>11</xdr:row>
      <xdr:rowOff>0</xdr:rowOff>
    </xdr:to>
    <mc:AlternateContent xmlns:mc="http://schemas.openxmlformats.org/markup-compatibility/2006" xmlns:a14="http://schemas.microsoft.com/office/drawing/2010/main">
      <mc:Choice Requires="a14">
        <xdr:graphicFrame macro="">
          <xdr:nvGraphicFramePr>
            <xdr:cNvPr id="8" name="Tutoring">
              <a:extLst>
                <a:ext uri="{FF2B5EF4-FFF2-40B4-BE49-F238E27FC236}">
                  <a16:creationId xmlns:a16="http://schemas.microsoft.com/office/drawing/2014/main" id="{DEF0ECC7-65B6-4307-A749-4D61211E37E8}"/>
                </a:ext>
              </a:extLst>
            </xdr:cNvPr>
            <xdr:cNvGraphicFramePr/>
          </xdr:nvGraphicFramePr>
          <xdr:xfrm>
            <a:off x="0" y="0"/>
            <a:ext cx="0" cy="0"/>
          </xdr:xfrm>
          <a:graphic>
            <a:graphicData uri="http://schemas.microsoft.com/office/drawing/2010/slicer">
              <sle:slicer xmlns:sle="http://schemas.microsoft.com/office/drawing/2010/slicer" name="Tutoring"/>
            </a:graphicData>
          </a:graphic>
        </xdr:graphicFrame>
      </mc:Choice>
      <mc:Fallback xmlns="">
        <xdr:sp macro="" textlink="">
          <xdr:nvSpPr>
            <xdr:cNvPr id="0" name=""/>
            <xdr:cNvSpPr>
              <a:spLocks noTextEdit="1"/>
            </xdr:cNvSpPr>
          </xdr:nvSpPr>
          <xdr:spPr>
            <a:xfrm>
              <a:off x="12042890" y="1188720"/>
              <a:ext cx="5886450" cy="8229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426719</xdr:colOff>
      <xdr:row>13</xdr:row>
      <xdr:rowOff>91440</xdr:rowOff>
    </xdr:from>
    <xdr:to>
      <xdr:col>18</xdr:col>
      <xdr:colOff>75266</xdr:colOff>
      <xdr:row>32</xdr:row>
      <xdr:rowOff>76200</xdr:rowOff>
    </xdr:to>
    <xdr:sp macro="" textlink="">
      <xdr:nvSpPr>
        <xdr:cNvPr id="9" name="Rectangle 8">
          <a:extLst>
            <a:ext uri="{FF2B5EF4-FFF2-40B4-BE49-F238E27FC236}">
              <a16:creationId xmlns:a16="http://schemas.microsoft.com/office/drawing/2014/main" id="{FD83DA03-40CA-F06A-1EF2-A2EF3097F220}"/>
            </a:ext>
          </a:extLst>
        </xdr:cNvPr>
        <xdr:cNvSpPr/>
      </xdr:nvSpPr>
      <xdr:spPr>
        <a:xfrm>
          <a:off x="426719" y="2468880"/>
          <a:ext cx="10621347" cy="3459480"/>
        </a:xfrm>
        <a:prstGeom prst="rect">
          <a:avLst/>
        </a:prstGeom>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579120</xdr:colOff>
      <xdr:row>34</xdr:row>
      <xdr:rowOff>45720</xdr:rowOff>
    </xdr:from>
    <xdr:to>
      <xdr:col>28</xdr:col>
      <xdr:colOff>563880</xdr:colOff>
      <xdr:row>53</xdr:row>
      <xdr:rowOff>60960</xdr:rowOff>
    </xdr:to>
    <xdr:sp macro="" textlink="">
      <xdr:nvSpPr>
        <xdr:cNvPr id="10" name="Rectangle 9">
          <a:extLst>
            <a:ext uri="{FF2B5EF4-FFF2-40B4-BE49-F238E27FC236}">
              <a16:creationId xmlns:a16="http://schemas.microsoft.com/office/drawing/2014/main" id="{974D98BE-EE64-4F7C-A4F2-BE6574DCFE50}"/>
            </a:ext>
          </a:extLst>
        </xdr:cNvPr>
        <xdr:cNvSpPr/>
      </xdr:nvSpPr>
      <xdr:spPr>
        <a:xfrm>
          <a:off x="6675120" y="6263640"/>
          <a:ext cx="10957560" cy="3489960"/>
        </a:xfrm>
        <a:prstGeom prst="rect">
          <a:avLst/>
        </a:prstGeom>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15240</xdr:colOff>
      <xdr:row>13</xdr:row>
      <xdr:rowOff>91440</xdr:rowOff>
    </xdr:from>
    <xdr:to>
      <xdr:col>28</xdr:col>
      <xdr:colOff>548640</xdr:colOff>
      <xdr:row>32</xdr:row>
      <xdr:rowOff>76200</xdr:rowOff>
    </xdr:to>
    <xdr:sp macro="" textlink="">
      <xdr:nvSpPr>
        <xdr:cNvPr id="11" name="Rectangle 10">
          <a:extLst>
            <a:ext uri="{FF2B5EF4-FFF2-40B4-BE49-F238E27FC236}">
              <a16:creationId xmlns:a16="http://schemas.microsoft.com/office/drawing/2014/main" id="{54C63F8E-01D5-40F8-AF11-F7BA9134381E}"/>
            </a:ext>
          </a:extLst>
        </xdr:cNvPr>
        <xdr:cNvSpPr/>
      </xdr:nvSpPr>
      <xdr:spPr>
        <a:xfrm>
          <a:off x="11597640" y="2468880"/>
          <a:ext cx="6019800" cy="3459480"/>
        </a:xfrm>
        <a:prstGeom prst="rect">
          <a:avLst/>
        </a:prstGeom>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426720</xdr:colOff>
      <xdr:row>34</xdr:row>
      <xdr:rowOff>30480</xdr:rowOff>
    </xdr:from>
    <xdr:to>
      <xdr:col>10</xdr:col>
      <xdr:colOff>121920</xdr:colOff>
      <xdr:row>53</xdr:row>
      <xdr:rowOff>45720</xdr:rowOff>
    </xdr:to>
    <xdr:sp macro="" textlink="">
      <xdr:nvSpPr>
        <xdr:cNvPr id="12" name="Rectangle 11">
          <a:extLst>
            <a:ext uri="{FF2B5EF4-FFF2-40B4-BE49-F238E27FC236}">
              <a16:creationId xmlns:a16="http://schemas.microsoft.com/office/drawing/2014/main" id="{FAEC5D1C-D731-485B-B186-E4D3F918E974}"/>
            </a:ext>
          </a:extLst>
        </xdr:cNvPr>
        <xdr:cNvSpPr/>
      </xdr:nvSpPr>
      <xdr:spPr>
        <a:xfrm>
          <a:off x="426720" y="6248400"/>
          <a:ext cx="5791200" cy="3489960"/>
        </a:xfrm>
        <a:prstGeom prst="rect">
          <a:avLst/>
        </a:prstGeom>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38100</xdr:colOff>
      <xdr:row>14</xdr:row>
      <xdr:rowOff>137160</xdr:rowOff>
    </xdr:from>
    <xdr:to>
      <xdr:col>17</xdr:col>
      <xdr:colOff>320040</xdr:colOff>
      <xdr:row>31</xdr:row>
      <xdr:rowOff>30480</xdr:rowOff>
    </xdr:to>
    <xdr:graphicFrame macro="">
      <xdr:nvGraphicFramePr>
        <xdr:cNvPr id="13" name="Chart 12">
          <a:extLst>
            <a:ext uri="{FF2B5EF4-FFF2-40B4-BE49-F238E27FC236}">
              <a16:creationId xmlns:a16="http://schemas.microsoft.com/office/drawing/2014/main" id="{340EC9D0-D96B-4AD9-ADC9-5AEEA401E0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252328</xdr:colOff>
      <xdr:row>14</xdr:row>
      <xdr:rowOff>137160</xdr:rowOff>
    </xdr:from>
    <xdr:to>
      <xdr:col>28</xdr:col>
      <xdr:colOff>304800</xdr:colOff>
      <xdr:row>30</xdr:row>
      <xdr:rowOff>167640</xdr:rowOff>
    </xdr:to>
    <xdr:graphicFrame macro="">
      <xdr:nvGraphicFramePr>
        <xdr:cNvPr id="14" name="Chart 13">
          <a:extLst>
            <a:ext uri="{FF2B5EF4-FFF2-40B4-BE49-F238E27FC236}">
              <a16:creationId xmlns:a16="http://schemas.microsoft.com/office/drawing/2014/main" id="{27C27DD7-6254-4823-8136-1E1A42A0F0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330030</xdr:colOff>
      <xdr:row>35</xdr:row>
      <xdr:rowOff>76200</xdr:rowOff>
    </xdr:from>
    <xdr:to>
      <xdr:col>28</xdr:col>
      <xdr:colOff>320040</xdr:colOff>
      <xdr:row>51</xdr:row>
      <xdr:rowOff>137160</xdr:rowOff>
    </xdr:to>
    <xdr:graphicFrame macro="">
      <xdr:nvGraphicFramePr>
        <xdr:cNvPr id="15" name="Chart 14">
          <a:extLst>
            <a:ext uri="{FF2B5EF4-FFF2-40B4-BE49-F238E27FC236}">
              <a16:creationId xmlns:a16="http://schemas.microsoft.com/office/drawing/2014/main" id="{920448E5-6C67-4824-AA49-95C0416138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60961</xdr:colOff>
      <xdr:row>35</xdr:row>
      <xdr:rowOff>38100</xdr:rowOff>
    </xdr:from>
    <xdr:to>
      <xdr:col>9</xdr:col>
      <xdr:colOff>472440</xdr:colOff>
      <xdr:row>52</xdr:row>
      <xdr:rowOff>0</xdr:rowOff>
    </xdr:to>
    <xdr:graphicFrame macro="">
      <xdr:nvGraphicFramePr>
        <xdr:cNvPr id="16" name="Chart 15">
          <a:extLst>
            <a:ext uri="{FF2B5EF4-FFF2-40B4-BE49-F238E27FC236}">
              <a16:creationId xmlns:a16="http://schemas.microsoft.com/office/drawing/2014/main" id="{28FEF1A5-64C4-4273-B7F3-8DC44E8640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33</xdr:col>
      <xdr:colOff>0</xdr:colOff>
      <xdr:row>3</xdr:row>
      <xdr:rowOff>0</xdr:rowOff>
    </xdr:from>
    <xdr:to>
      <xdr:col>45</xdr:col>
      <xdr:colOff>182880</xdr:colOff>
      <xdr:row>39</xdr:row>
      <xdr:rowOff>167640</xdr:rowOff>
    </xdr:to>
    <xdr:sp macro="" textlink="">
      <xdr:nvSpPr>
        <xdr:cNvPr id="17" name="Rectangle: Rounded Corners 16">
          <a:extLst>
            <a:ext uri="{FF2B5EF4-FFF2-40B4-BE49-F238E27FC236}">
              <a16:creationId xmlns:a16="http://schemas.microsoft.com/office/drawing/2014/main" id="{86F01246-2A6A-47E0-A8D1-55C7EE145E93}"/>
            </a:ext>
          </a:extLst>
        </xdr:cNvPr>
        <xdr:cNvSpPr/>
      </xdr:nvSpPr>
      <xdr:spPr>
        <a:xfrm>
          <a:off x="20116800" y="548640"/>
          <a:ext cx="7498080" cy="6751320"/>
        </a:xfrm>
        <a:prstGeom prst="roundRect">
          <a:avLst>
            <a:gd name="adj" fmla="val 5389"/>
          </a:avLst>
        </a:prstGeom>
        <a:solidFill>
          <a:schemeClr val="accent2">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r>
            <a:rPr lang="en-IN" sz="2800" b="1">
              <a:solidFill>
                <a:schemeClr val="accent6">
                  <a:lumMod val="50000"/>
                </a:schemeClr>
              </a:solidFill>
            </a:rPr>
            <a:t>KEY IMP Point</a:t>
          </a:r>
        </a:p>
        <a:p>
          <a:pPr algn="l"/>
          <a:endParaRPr lang="en-IN" sz="2000">
            <a:solidFill>
              <a:schemeClr val="accent6">
                <a:lumMod val="50000"/>
              </a:schemeClr>
            </a:solidFill>
          </a:endParaRPr>
        </a:p>
        <a:p>
          <a:pPr algn="l"/>
          <a:r>
            <a:rPr lang="en-IN" sz="2000">
              <a:solidFill>
                <a:schemeClr val="accent6">
                  <a:lumMod val="50000"/>
                </a:schemeClr>
              </a:solidFill>
            </a:rPr>
            <a:t>&gt;Student Havind 22 or 23 hour study time have Maximum avg GPA</a:t>
          </a:r>
        </a:p>
        <a:p>
          <a:pPr algn="l"/>
          <a:endParaRPr lang="en-IN" sz="2000">
            <a:solidFill>
              <a:schemeClr val="accent6">
                <a:lumMod val="50000"/>
              </a:schemeClr>
            </a:solidFill>
          </a:endParaRPr>
        </a:p>
        <a:p>
          <a:pPr algn="l"/>
          <a:r>
            <a:rPr lang="en-IN" sz="2000">
              <a:solidFill>
                <a:schemeClr val="accent6">
                  <a:lumMod val="50000"/>
                </a:schemeClr>
              </a:solidFill>
            </a:rPr>
            <a:t>&gt;Female students have more Ethicity than Male</a:t>
          </a:r>
          <a:r>
            <a:rPr lang="en-IN" sz="2000" baseline="0">
              <a:solidFill>
                <a:schemeClr val="accent6">
                  <a:lumMod val="50000"/>
                </a:schemeClr>
              </a:solidFill>
            </a:rPr>
            <a:t> students </a:t>
          </a:r>
        </a:p>
        <a:p>
          <a:pPr algn="l"/>
          <a:r>
            <a:rPr lang="en-IN" sz="2000" baseline="0">
              <a:solidFill>
                <a:schemeClr val="accent6">
                  <a:lumMod val="50000"/>
                </a:schemeClr>
              </a:solidFill>
            </a:rPr>
            <a:t>It's arround 1.97 avg</a:t>
          </a:r>
        </a:p>
        <a:p>
          <a:pPr algn="l"/>
          <a:endParaRPr lang="en-IN" sz="2000" baseline="0">
            <a:solidFill>
              <a:schemeClr val="accent6">
                <a:lumMod val="50000"/>
              </a:schemeClr>
            </a:solidFill>
          </a:endParaRPr>
        </a:p>
        <a:p>
          <a:pPr algn="l"/>
          <a:r>
            <a:rPr lang="en-IN" sz="2000" baseline="0">
              <a:solidFill>
                <a:schemeClr val="accent6">
                  <a:lumMod val="50000"/>
                </a:schemeClr>
              </a:solidFill>
            </a:rPr>
            <a:t>&gt;Maximum students Have A Grade havind count of 197 students</a:t>
          </a:r>
        </a:p>
        <a:p>
          <a:pPr algn="l"/>
          <a:endParaRPr lang="en-IN" sz="2000" baseline="0">
            <a:solidFill>
              <a:schemeClr val="accent6">
                <a:lumMod val="50000"/>
              </a:schemeClr>
            </a:solidFill>
          </a:endParaRPr>
        </a:p>
        <a:p>
          <a:pPr algn="l"/>
          <a:r>
            <a:rPr lang="en-IN" sz="2000" baseline="0">
              <a:solidFill>
                <a:schemeClr val="accent6">
                  <a:lumMod val="50000"/>
                </a:schemeClr>
              </a:solidFill>
            </a:rPr>
            <a:t>&gt;Average students who does extra curriculams have more GPA than </a:t>
          </a:r>
        </a:p>
        <a:p>
          <a:pPr algn="l"/>
          <a:r>
            <a:rPr lang="en-IN" sz="2000" baseline="0">
              <a:solidFill>
                <a:schemeClr val="accent6">
                  <a:lumMod val="50000"/>
                </a:schemeClr>
              </a:solidFill>
            </a:rPr>
            <a:t>non participant students</a:t>
          </a:r>
        </a:p>
        <a:p>
          <a:pPr algn="l"/>
          <a:endParaRPr lang="en-IN" sz="2000" baseline="0">
            <a:solidFill>
              <a:schemeClr val="accent6">
                <a:lumMod val="50000"/>
              </a:schemeClr>
            </a:solidFill>
          </a:endParaRPr>
        </a:p>
        <a:p>
          <a:pPr algn="l"/>
          <a:r>
            <a:rPr lang="en-IN" sz="2000" baseline="0">
              <a:solidFill>
                <a:schemeClr val="accent6">
                  <a:lumMod val="50000"/>
                </a:schemeClr>
              </a:solidFill>
            </a:rPr>
            <a:t>&gt;Mostly Absence students Have minimum GPA</a:t>
          </a:r>
        </a:p>
        <a:p>
          <a:pPr algn="l"/>
          <a:endParaRPr lang="en-IN" sz="2000" baseline="0">
            <a:solidFill>
              <a:schemeClr val="accent6">
                <a:lumMod val="50000"/>
              </a:schemeClr>
            </a:solidFill>
          </a:endParaRPr>
        </a:p>
        <a:p>
          <a:pPr algn="l"/>
          <a:endParaRPr lang="en-IN" sz="2000" baseline="0">
            <a:solidFill>
              <a:schemeClr val="accent6">
                <a:lumMod val="50000"/>
              </a:schemeClr>
            </a:solidFill>
          </a:endParaRPr>
        </a:p>
        <a:p>
          <a:pPr algn="l"/>
          <a:r>
            <a:rPr lang="en-IN" sz="2000" baseline="0">
              <a:solidFill>
                <a:schemeClr val="accent6">
                  <a:lumMod val="50000"/>
                </a:schemeClr>
              </a:solidFill>
            </a:rPr>
            <a:t>Explaination video:-</a:t>
          </a:r>
        </a:p>
        <a:p>
          <a:pPr algn="l"/>
          <a:endParaRPr lang="en-IN" sz="2000" baseline="0">
            <a:solidFill>
              <a:schemeClr val="accent6">
                <a:lumMod val="50000"/>
              </a:schemeClr>
            </a:solidFill>
          </a:endParaRPr>
        </a:p>
        <a:p>
          <a:pPr algn="l"/>
          <a:r>
            <a:rPr lang="en-IN" sz="2000">
              <a:solidFill>
                <a:schemeClr val="accent6">
                  <a:lumMod val="50000"/>
                </a:schemeClr>
              </a:solidFill>
            </a:rPr>
            <a:t>https://drive.google.com/file/d/1QA_gjyAXtfSe1UjUIh-JunvERYERQx18/view?usp=sharing</a:t>
          </a: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VANSHI" refreshedDate="46100.508118750004" createdVersion="8" refreshedVersion="8" minRefreshableVersion="3" recordCount="395" xr:uid="{B44D426A-48B3-4BDE-B8CA-16BF777E0E15}">
  <cacheSource type="worksheet">
    <worksheetSource name="Table2"/>
  </cacheSource>
  <cacheFields count="21">
    <cacheField name="StudentID" numFmtId="0">
      <sharedItems containsSemiMixedTypes="0" containsString="0" containsNumber="1" containsInteger="1" minValue="1001" maxValue="1395"/>
    </cacheField>
    <cacheField name="Age" numFmtId="0">
      <sharedItems containsSemiMixedTypes="0" containsString="0" containsNumber="1" containsInteger="1" minValue="15" maxValue="18"/>
    </cacheField>
    <cacheField name="Gender Code" numFmtId="0">
      <sharedItems containsSemiMixedTypes="0" containsString="0" containsNumber="1" containsInteger="1" minValue="0" maxValue="1"/>
    </cacheField>
    <cacheField name="Gender" numFmtId="0">
      <sharedItems count="2">
        <s v="Male"/>
        <s v="Female"/>
      </sharedItems>
    </cacheField>
    <cacheField name="Ethnicity" numFmtId="0">
      <sharedItems containsSemiMixedTypes="0" containsString="0" containsNumber="1" containsInteger="1" minValue="0" maxValue="3" count="4">
        <n v="0"/>
        <n v="2"/>
        <n v="1"/>
        <n v="3"/>
      </sharedItems>
    </cacheField>
    <cacheField name="ParentalEducation" numFmtId="0">
      <sharedItems containsSemiMixedTypes="0" containsString="0" containsNumber="1" containsInteger="1" minValue="0" maxValue="4" count="5">
        <n v="2"/>
        <n v="1"/>
        <n v="3"/>
        <n v="4"/>
        <n v="0"/>
      </sharedItems>
    </cacheField>
    <cacheField name="StudyTimeWeekly" numFmtId="164">
      <sharedItems containsSemiMixedTypes="0" containsNonDate="0" containsDate="1" containsString="0" minDate="1899-12-30T00:11:34" maxDate="1900-01-18T23:28:27" count="395">
        <d v="1900-01-18T20:00:34"/>
        <d v="1900-01-14T09:48:37"/>
        <d v="1900-01-03T05:03:13"/>
        <d v="1900-01-09T00:41:31"/>
        <d v="1900-01-03T16:08:24"/>
        <d v="1900-01-07T04:35:21"/>
        <d v="1900-01-14T14:26:25"/>
        <d v="1900-01-14T10:11:16"/>
        <d v="1900-01-03T13:29:17"/>
        <d v="1900-01-17T10:40:02"/>
        <d v="1900-01-10T20:25:58"/>
        <d v="1900-01-06T14:21:49"/>
        <d v="1900-01-09T00:55:45"/>
        <d v="1900-01-11T02:26:03"/>
        <d v="1900-01-10T04:44:51"/>
        <d v="1900-01-08T17:28:28"/>
        <d v="1900-01-09T02:22:04"/>
        <d v="1900-01-02T12:40:40"/>
        <d v="1900-01-15T06:06:42"/>
        <d v="1900-01-09T20:02:42"/>
        <d v="1900-01-01T14:55:06"/>
        <d v="1900-01-14T07:45:19"/>
        <d v="1900-01-17T15:34:23"/>
        <d v="1900-01-17T22:42:26"/>
        <d v="1900-01-06T09:07:43"/>
        <d v="1900-01-01T17:02:53"/>
        <d v="1900-01-09T08:49:55"/>
        <d v="1900-01-01T06:03:09"/>
        <d v="1900-01-17T16:18:50"/>
        <d v="1900-01-02T16:07:06"/>
        <d v="1900-01-04T01:19:39"/>
        <d v="1900-01-07T03:11:08"/>
        <d v="1900-01-06T15:55:08"/>
        <d v="1900-01-14T21:26:17"/>
        <d v="1900-01-08T03:01:55"/>
        <d v="1900-01-02T09:58:08"/>
        <d v="1900-01-04T08:15:39"/>
        <d v="1900-01-09T04:22:28"/>
        <d v="1900-01-01T22:46:40"/>
        <d v="1900-01-11T05:35:41"/>
        <d v="1900-01-10T07:33:31"/>
        <d v="1900-01-13T07:03:26"/>
        <d v="1900-01-17T18:05:54"/>
        <d v="1900-01-17T05:52:56"/>
        <d v="1900-01-17T22:06:59"/>
        <d v="1900-01-03T21:27:49"/>
        <d v="1900-01-01T15:09:05"/>
        <d v="1900-01-05T01:05:34"/>
        <d v="1900-01-16T21:38:27"/>
        <d v="1900-01-18T10:35:08"/>
        <d v="1900-01-16T04:28:34"/>
        <d v="1900-01-01T04:48:31"/>
        <d v="1900-01-17T22:45:56"/>
        <d v="1900-01-07T11:12:43"/>
        <d v="1899-12-30T04:28:08"/>
        <d v="1900-01-07T20:20:56"/>
        <d v="1899-12-30T22:06:48"/>
        <d v="1900-01-09T21:03:41"/>
        <d v="1900-01-05T18:30:21"/>
        <d v="1900-01-08T11:14:56"/>
        <d v="1900-01-11T06:19:18"/>
        <d v="1900-01-16T09:01:28"/>
        <d v="1900-01-12T05:42:46"/>
        <d v="1900-01-07T16:20:36"/>
        <d v="1900-01-15T09:19:31"/>
        <d v="1900-01-17T02:40:46"/>
        <d v="1900-01-01T09:29:05"/>
        <d v="1900-01-09T15:19:40"/>
        <d v="1900-01-04T16:33:57"/>
        <d v="1899-12-30T22:35:22"/>
        <d v="1900-01-12T08:54:09"/>
        <d v="1900-01-16T06:07:48"/>
        <d v="1900-01-02T06:11:36"/>
        <d v="1900-01-15T05:57:31"/>
        <d v="1900-01-16T01:37:48"/>
        <d v="1900-01-17T06:53:00"/>
        <d v="1900-01-04T07:20:13"/>
        <d v="1900-01-17T01:53:51"/>
        <d v="1900-01-05T09:55:05"/>
        <d v="1900-01-10T01:07:20"/>
        <d v="1899-12-31T00:14:37"/>
        <d v="1899-12-30T21:03:47"/>
        <d v="1900-01-13T09:46:45"/>
        <d v="1900-01-07T21:21:01"/>
        <d v="1900-01-04T03:01:13"/>
        <d v="1900-01-02T19:23:55"/>
        <d v="1900-01-12T09:34:40"/>
        <d v="1899-12-30T00:11:34"/>
        <d v="1900-01-15T02:49:40"/>
        <d v="1899-12-31T14:02:23"/>
        <d v="1900-01-02T19:54:54"/>
        <d v="1900-01-06T17:23:36"/>
        <d v="1900-01-08T16:43:56"/>
        <d v="1900-01-06T02:23:52"/>
        <d v="1900-01-05T09:56:31"/>
        <d v="1900-01-18T06:40:47"/>
        <d v="1900-01-11T19:57:30"/>
        <d v="1899-12-30T11:14:52"/>
        <d v="1900-01-07T14:29:04"/>
        <d v="1900-01-16T12:00:15"/>
        <d v="1900-01-05T00:41:56"/>
        <d v="1899-12-31T21:23:13"/>
        <d v="1900-01-14T04:01:29"/>
        <d v="1900-01-11T02:53:12"/>
        <d v="1900-01-10T09:45:00"/>
        <d v="1899-12-31T01:43:00"/>
        <d v="1900-01-01T19:26:22"/>
        <d v="1900-01-11T10:49:25"/>
        <d v="1900-01-03T03:45:20"/>
        <d v="1900-01-09T01:57:13"/>
        <d v="1900-01-09T21:32:36"/>
        <d v="1900-01-04T16:05:00"/>
        <d v="1900-01-17T23:14:39"/>
        <d v="1900-01-15T20:22:58"/>
        <d v="1900-01-13T10:44:21"/>
        <d v="1899-12-31T13:26:13"/>
        <d v="1900-01-01T02:56:33"/>
        <d v="1900-01-08T20:32:06"/>
        <d v="1900-01-02T05:08:33"/>
        <d v="1900-01-18T13:34:03"/>
        <d v="1900-01-02T04:05:23"/>
        <d v="1900-01-08T17:59:04"/>
        <d v="1900-01-06T06:46:41"/>
        <d v="1900-01-11T18:54:20"/>
        <d v="1900-01-01T13:56:15"/>
        <d v="1900-01-07T14:33:07"/>
        <d v="1900-01-04T11:51:30"/>
        <d v="1900-01-16T18:07:15"/>
        <d v="1899-12-30T19:28:52"/>
        <d v="1900-01-17T06:35:21"/>
        <d v="1900-01-15T15:50:14"/>
        <d v="1900-01-04T22:50:02"/>
        <d v="1900-01-14T18:51:34"/>
        <d v="1899-12-30T14:58:57"/>
        <d v="1900-01-18T08:05:44"/>
        <d v="1900-01-09T12:45:56"/>
        <d v="1900-01-05T01:34:30"/>
        <d v="1900-01-06T06:02:24"/>
        <d v="1899-12-31T07:52:28"/>
        <d v="1900-01-18T18:53:16"/>
        <d v="1899-12-30T18:51:36"/>
        <d v="1900-01-12T02:21:20"/>
        <d v="1900-01-07T20:30:48"/>
        <d v="1900-01-17T23:28:47"/>
        <d v="1900-01-03T22:04:48"/>
        <d v="1900-01-09T15:24:06"/>
        <d v="1900-01-08T15:31:52"/>
        <d v="1900-01-13T01:22:33"/>
        <d v="1899-12-31T08:38:42"/>
        <d v="1900-01-02T21:01:08"/>
        <d v="1900-01-03T06:59:28"/>
        <d v="1900-01-13T18:18:45"/>
        <d v="1900-01-02T18:47:12"/>
        <d v="1900-01-10T11:16:34"/>
        <d v="1900-01-03T07:19:01"/>
        <d v="1900-01-16T05:34:48"/>
        <d v="1900-01-17T20:14:56"/>
        <d v="1900-01-09T08:52:36"/>
        <d v="1900-01-06T01:06:30"/>
        <d v="1900-01-03T16:20:52"/>
        <d v="1899-12-30T23:53:42"/>
        <d v="1900-01-04T08:52:48"/>
        <d v="1900-01-12T02:01:59"/>
        <d v="1900-01-09T16:08:10"/>
        <d v="1900-01-17T21:08:23"/>
        <d v="1900-01-06T22:12:47"/>
        <d v="1900-01-12T21:03:16"/>
        <d v="1900-01-08T18:52:30"/>
        <d v="1900-01-09T06:02:12"/>
        <d v="1900-01-04T08:31:54"/>
        <d v="1900-01-08T02:22:35"/>
        <d v="1900-01-08T09:58:36"/>
        <d v="1900-01-13T03:11:18"/>
        <d v="1900-01-17T19:30:26"/>
        <d v="1900-01-05T14:04:27"/>
        <d v="1899-12-30T20:15:22"/>
        <d v="1900-01-08T22:13:18"/>
        <d v="1900-01-09T21:20:29"/>
        <d v="1900-01-02T08:51:05"/>
        <d v="1900-01-14T05:01:23"/>
        <d v="1900-01-18T16:45:57"/>
        <d v="1900-01-17T21:58:19"/>
        <d v="1900-01-02T22:36:39"/>
        <d v="1900-01-16T12:10:28"/>
        <d v="1900-01-13T02:09:25"/>
        <d v="1900-01-08T01:50:47"/>
        <d v="1900-01-09T19:29:36"/>
        <d v="1900-01-15T23:48:29"/>
        <d v="1900-01-08T14:27:53"/>
        <d v="1900-01-06T11:08:22"/>
        <d v="1900-01-08T20:45:32"/>
        <d v="1900-01-10T13:58:56"/>
        <d v="1900-01-02T18:45:26"/>
        <d v="1900-01-17T00:26:09"/>
        <d v="1900-01-12T11:36:35"/>
        <d v="1900-01-11T15:58:09"/>
        <d v="1899-12-31T23:45:29"/>
        <d v="1900-01-11T02:00:13"/>
        <d v="1900-01-01T10:03:40"/>
        <d v="1899-12-31T13:46:30"/>
        <d v="1900-01-09T13:06:33"/>
        <d v="1900-01-07T01:20:13"/>
        <d v="1900-01-10T18:37:44"/>
        <d v="1899-12-31T18:49:36"/>
        <d v="1900-01-07T14:52:19"/>
        <d v="1900-01-02T11:53:51"/>
        <d v="1900-01-18T17:48:29"/>
        <d v="1900-01-10T05:21:08"/>
        <d v="1900-01-12T17:58:11"/>
        <d v="1900-01-05T12:12:03"/>
        <d v="1899-12-31T21:28:29"/>
        <d v="1900-01-18T12:25:05"/>
        <d v="1900-01-04T17:24:16"/>
        <d v="1900-01-07T11:25:41"/>
        <d v="1900-01-11T23:56:05"/>
        <d v="1899-12-30T11:51:17"/>
        <d v="1900-01-15T04:55:28"/>
        <d v="1900-01-09T17:33:27"/>
        <d v="1900-01-04T13:32:39"/>
        <d v="1899-12-31T05:34:19"/>
        <d v="1900-01-02T05:59:57"/>
        <d v="1900-01-16T21:36:59"/>
        <d v="1900-01-12T17:17:30"/>
        <d v="1900-01-03T23:57:10"/>
        <d v="1899-12-31T07:29:18"/>
        <d v="1900-01-12T19:29:43"/>
        <d v="1900-01-10T10:45:21"/>
        <d v="1900-01-07T02:10:10"/>
        <d v="1900-01-06T06:32:01"/>
        <d v="1900-01-03T08:04:15"/>
        <d v="1900-01-12T09:24:48"/>
        <d v="1900-01-18T09:55:14"/>
        <d v="1900-01-02T12:20:36"/>
        <d v="1900-01-10T22:36:58"/>
        <d v="1900-01-07T11:36:32"/>
        <d v="1900-01-07T22:24:38"/>
        <d v="1900-01-04T01:59:27"/>
        <d v="1900-01-15T12:03:53"/>
        <d v="1900-01-08T16:55:22"/>
        <d v="1900-01-09T20:50:05"/>
        <d v="1900-01-05T02:17:07"/>
        <d v="1900-01-02T15:16:05"/>
        <d v="1899-12-31T17:14:13"/>
        <d v="1900-01-13T06:46:38"/>
        <d v="1900-01-02T22:11:33"/>
        <d v="1900-01-12T19:14:10"/>
        <d v="1900-01-06T19:22:50"/>
        <d v="1900-01-07T07:34:19"/>
        <d v="1900-01-08T09:12:19"/>
        <d v="1900-01-06T08:30:00"/>
        <d v="1900-01-01T00:17:51"/>
        <d v="1900-01-05T04:37:24"/>
        <d v="1900-01-12T06:35:33"/>
        <d v="1900-01-12T07:34:35"/>
        <d v="1900-01-04T17:23:16"/>
        <d v="1900-01-08T04:50:57"/>
        <d v="1900-01-02T20:51:17"/>
        <d v="1900-01-03T04:58:43"/>
        <d v="1899-12-30T11:03:45"/>
        <d v="1900-01-16T22:26:18"/>
        <d v="1900-01-03T05:08:21"/>
        <d v="1900-01-03T13:12:59"/>
        <d v="1900-01-04T14:12:31"/>
        <d v="1900-01-01T13:09:21"/>
        <d v="1900-01-11T18:50:46"/>
        <d v="1899-12-31T12:04:07"/>
        <d v="1900-01-01T16:25:02"/>
        <d v="1900-01-11T21:29:00"/>
        <d v="1900-01-05T19:02:14"/>
        <d v="1900-01-13T03:48:54"/>
        <d v="1900-01-10T03:33:50"/>
        <d v="1900-01-04T02:53:25"/>
        <d v="1900-01-12T00:23:51"/>
        <d v="1900-01-01T07:48:41"/>
        <d v="1900-01-09T17:28:37"/>
        <d v="1900-01-07T17:49:52"/>
        <d v="1900-01-04T08:34:46"/>
        <d v="1900-01-11T01:55:21"/>
        <d v="1900-01-16T10:14:24"/>
        <d v="1900-01-18T23:28:27"/>
        <d v="1900-01-11T03:43:34"/>
        <d v="1900-01-07T02:15:32"/>
        <d v="1900-01-03T12:05:58"/>
        <d v="1900-01-04T03:24:22"/>
        <d v="1900-01-08T14:08:18"/>
        <d v="1900-01-06T08:17:36"/>
        <d v="1900-01-17T06:37:51"/>
        <d v="1900-01-06T08:46:55"/>
        <d v="1900-01-06T11:15:12"/>
        <d v="1900-01-06T16:05:48"/>
        <d v="1900-01-15T17:34:40"/>
        <d v="1900-01-12T00:22:42"/>
        <d v="1900-01-11T06:48:04"/>
        <d v="1900-01-05T16:23:19"/>
        <d v="1900-01-15T08:35:38"/>
        <d v="1899-12-30T18:24:53"/>
        <d v="1900-01-16T09:58:58"/>
        <d v="1900-01-09T06:07:12"/>
        <d v="1900-01-06T23:09:36"/>
        <d v="1900-01-08T22:38:25"/>
        <d v="1900-01-12T08:21:34"/>
        <d v="1899-12-30T06:07:39"/>
        <d v="1900-01-16T10:20:42"/>
        <d v="1900-01-07T22:26:06"/>
        <d v="1900-01-05T20:37:26"/>
        <d v="1900-01-01T18:21:28"/>
        <d v="1900-01-07T18:56:36"/>
        <d v="1900-01-08T22:14:06"/>
        <d v="1900-01-07T01:45:01"/>
        <d v="1900-01-12T13:45:25"/>
        <d v="1900-01-07T10:01:49"/>
        <d v="1900-01-18T05:28:50"/>
        <d v="1900-01-10T23:39:12"/>
        <d v="1900-01-15T03:35:22"/>
        <d v="1900-01-01T04:29:27"/>
        <d v="1900-01-06T22:41:59"/>
        <d v="1900-01-05T17:41:13"/>
        <d v="1900-01-10T09:21:06"/>
        <d v="1900-01-16T05:20:04"/>
        <d v="1899-12-31T13:36:08"/>
        <d v="1899-12-31T10:50:09"/>
        <d v="1900-01-16T00:09:09"/>
        <d v="1900-01-03T06:10:05"/>
        <d v="1900-01-12T09:00:06"/>
        <d v="1900-01-09T20:34:53"/>
        <d v="1900-01-15T15:47:20"/>
        <d v="1900-01-01T12:02:34"/>
        <d v="1900-01-01T14:17:45"/>
        <d v="1900-01-10T03:16:22"/>
        <d v="1900-01-17T22:15:42"/>
        <d v="1900-01-07T07:11:56"/>
        <d v="1900-01-05T12:55:56"/>
        <d v="1900-01-11T03:12:39"/>
        <d v="1900-01-17T14:36:55"/>
        <d v="1900-01-15T17:43:31"/>
        <d v="1900-01-18T21:49:56"/>
        <d v="1899-12-30T10:49:59"/>
        <d v="1900-01-01T06:10:19"/>
        <d v="1900-01-11T04:32:40"/>
        <d v="1900-01-15T09:52:36"/>
        <d v="1900-01-04T16:55:02"/>
        <d v="1900-01-03T18:49:17"/>
        <d v="1900-01-14T17:44:54"/>
        <d v="1899-12-31T03:03:48"/>
        <d v="1900-01-06T09:18:13"/>
        <d v="1900-01-09T02:47:18"/>
        <d v="1900-01-10T04:58:03"/>
        <d v="1900-01-13T13:44:07"/>
        <d v="1900-01-06T02:19:33"/>
        <d v="1900-01-11T06:05:19"/>
        <d v="1900-01-10T16:58:49"/>
        <d v="1900-01-09T22:51:21"/>
        <d v="1900-01-11T19:25:55"/>
        <d v="1900-01-04T04:32:08"/>
        <d v="1899-12-31T16:37:53"/>
        <d v="1900-01-01T09:15:01"/>
        <d v="1900-01-03T11:47:58"/>
        <d v="1900-01-09T00:05:42"/>
        <d v="1900-01-15T19:24:45"/>
        <d v="1900-01-13T00:37:15"/>
        <d v="1900-01-14T18:44:22"/>
        <d v="1900-01-06T00:28:06"/>
        <d v="1900-01-07T02:14:02"/>
        <d v="1900-01-06T20:58:02"/>
        <d v="1900-01-02T20:05:57"/>
        <d v="1899-12-31T05:23:02"/>
        <d v="1900-01-10T19:38:23"/>
        <d v="1900-01-18T18:49:26"/>
        <d v="1900-01-02T08:04:42"/>
        <d v="1899-12-30T22:24:31"/>
        <d v="1900-01-14T14:10:31"/>
        <d v="1900-01-04T01:14:29"/>
        <d v="1900-01-15T14:13:44"/>
        <d v="1900-01-13T01:53:23"/>
        <d v="1900-01-17T21:55:24"/>
        <d v="1900-01-07T04:17:06"/>
        <d v="1900-01-12T05:44:44"/>
        <d v="1900-01-08T07:07:49"/>
        <d v="1900-01-11T14:40:57"/>
        <d v="1900-01-07T23:48:27"/>
        <d v="1900-01-02T18:32:37"/>
        <d v="1900-01-09T03:47:27"/>
        <d v="1900-01-09T13:43:14"/>
        <d v="1900-01-15T05:05:23"/>
        <d v="1900-01-13T17:03:00"/>
        <d v="1900-01-12T06:37:12"/>
        <d v="1900-01-01T06:25:33"/>
        <d v="1900-01-13T09:53:45"/>
        <d v="1900-01-09T00:08:47"/>
        <d v="1900-01-16T21:10:04"/>
        <d v="1900-01-17T09:32:17"/>
        <d v="1899-12-31T02:28:31"/>
        <d v="1900-01-15T09:54:29"/>
        <d v="1899-12-30T18:05:41"/>
        <d v="1900-01-06T08:14:29"/>
      </sharedItems>
      <fieldGroup par="20"/>
    </cacheField>
    <cacheField name="Absences" numFmtId="0">
      <sharedItems containsSemiMixedTypes="0" containsString="0" containsNumber="1" containsInteger="1" minValue="0" maxValue="29" count="30">
        <n v="7"/>
        <n v="0"/>
        <n v="26"/>
        <n v="14"/>
        <n v="17"/>
        <n v="10"/>
        <n v="22"/>
        <n v="1"/>
        <n v="11"/>
        <n v="15"/>
        <n v="21"/>
        <n v="9"/>
        <n v="16"/>
        <n v="29"/>
        <n v="2"/>
        <n v="25"/>
        <n v="20"/>
        <n v="5"/>
        <n v="8"/>
        <n v="12"/>
        <n v="27"/>
        <n v="23"/>
        <n v="3"/>
        <n v="13"/>
        <n v="6"/>
        <n v="28"/>
        <n v="4"/>
        <n v="18"/>
        <n v="19"/>
        <n v="24"/>
      </sharedItems>
      <fieldGroup base="7">
        <rangePr startNum="0" endNum="29" groupInterval="3"/>
        <groupItems count="12">
          <s v="&lt;0"/>
          <s v="0-2"/>
          <s v="3-5"/>
          <s v="6-8"/>
          <s v="9-11"/>
          <s v="12-14"/>
          <s v="15-17"/>
          <s v="18-20"/>
          <s v="21-23"/>
          <s v="24-26"/>
          <s v="27-29"/>
          <s v="&gt;30"/>
        </groupItems>
      </fieldGroup>
    </cacheField>
    <cacheField name="Tutoring" numFmtId="0">
      <sharedItems containsSemiMixedTypes="0" containsString="0" containsNumber="1" containsInteger="1" minValue="0" maxValue="1" count="2">
        <n v="1"/>
        <n v="0"/>
      </sharedItems>
    </cacheField>
    <cacheField name="ParentalSupport" numFmtId="0">
      <sharedItems containsSemiMixedTypes="0" containsString="0" containsNumber="1" containsInteger="1" minValue="0" maxValue="4" count="5">
        <n v="2"/>
        <n v="1"/>
        <n v="3"/>
        <n v="4"/>
        <n v="0"/>
      </sharedItems>
    </cacheField>
    <cacheField name="Extracurricular" numFmtId="0">
      <sharedItems containsSemiMixedTypes="0" containsString="0" containsNumber="1" containsInteger="1" minValue="0" maxValue="1" count="2">
        <n v="0"/>
        <n v="1"/>
      </sharedItems>
    </cacheField>
    <cacheField name="Sports" numFmtId="0">
      <sharedItems containsSemiMixedTypes="0" containsString="0" containsNumber="1" containsInteger="1" minValue="0" maxValue="1" count="2">
        <n v="0"/>
        <n v="1"/>
      </sharedItems>
    </cacheField>
    <cacheField name="Music" numFmtId="0">
      <sharedItems containsSemiMixedTypes="0" containsString="0" containsNumber="1" containsInteger="1" minValue="0" maxValue="1" count="2">
        <n v="1"/>
        <n v="0"/>
      </sharedItems>
    </cacheField>
    <cacheField name="Volunteering" numFmtId="0">
      <sharedItems containsSemiMixedTypes="0" containsString="0" containsNumber="1" containsInteger="1" minValue="0" maxValue="1" count="2">
        <n v="0"/>
        <n v="1"/>
      </sharedItems>
    </cacheField>
    <cacheField name="GPA" numFmtId="2">
      <sharedItems containsSemiMixedTypes="0" containsString="0" containsNumber="1" minValue="0" maxValue="4" count="395">
        <n v="2.9291955916676802"/>
        <n v="3.0429148334363698"/>
        <n v="0.112602254466181"/>
        <n v="2.05421813970294"/>
        <n v="1.28806118179538"/>
        <n v="3.0841836144863901"/>
        <n v="2.7482374148915798"/>
        <n v="1.36014271231646"/>
        <n v="2.8968191895135602"/>
        <n v="3.5734742103297599"/>
        <n v="2.14717162501851"/>
        <n v="1.55959451904027"/>
        <n v="1.5200778148748"/>
        <n v="1.75158095833407"/>
        <n v="2.3967881171247898"/>
        <n v="1.3415207165346601"/>
        <n v="2.23217527771597"/>
        <n v="1.38440417569403"/>
        <n v="0.46955332337986999"/>
        <n v="2.3957840945306899"/>
        <n v="2.7784112999206498"/>
        <n v="0.34689403670501401"/>
        <n v="0.31254623052535402"/>
        <n v="1.7701318767799701"/>
        <n v="1.5051556220362801"/>
        <n v="2.9778519183157401"/>
        <n v="2.9487176719119201"/>
        <n v="2.14520472046719"/>
        <n v="2.8548039289813101"/>
        <n v="1.51944172581513"/>
        <n v="1.7271203095223999"/>
        <n v="1.8475354711387899"/>
        <n v="0.38461697285648699"/>
        <n v="0.94940609779728002"/>
        <n v="1.14095941842033"/>
        <n v="0.26147226005075203"/>
        <n v="0.21828485682103099"/>
        <n v="1.0677635510419701"/>
        <n v="3.01890585842796"/>
        <n v="1.52686783179272"/>
        <n v="1.0582873996898601"/>
        <n v="2.62512809773223"/>
        <n v="2.80875482202865"/>
        <n v="2.8888916692724398"/>
        <n v="4"/>
        <n v="2.5153002722562401"/>
        <n v="2.5637654300150898"/>
        <n v="1.7036118032323599"/>
        <n v="2.0998851567205801"/>
        <n v="2.4610469629080902"/>
        <n v="2.9354771916946301"/>
        <n v="1.9863780592187401"/>
        <n v="1.57154419139928"/>
        <n v="1.66431068966108"/>
        <n v="0.75625916657419201"/>
        <n v="0.80276953923420702"/>
        <n v="1.3423871779577301"/>
        <n v="0.28657128828662198"/>
        <n v="2.6138386936736699"/>
        <n v="0.92901255462593602"/>
        <n v="1.8927586959265901"/>
        <n v="2.3312615493087501"/>
        <n v="2.23423847260023"/>
        <n v="2.3858282190764601"/>
        <n v="3.3473567435078002"/>
        <n v="3.2618553073332901"/>
        <n v="1.0396238791477099"/>
        <n v="2.7818624732467899E-2"/>
        <n v="1.3299645378768701"/>
        <n v="3.28391652189738"/>
        <n v="2.9374541823168601"/>
        <n v="0.73886820280526"/>
        <n v="2.55680166283341"/>
        <n v="3.3009285689707899"/>
        <n v="2.2006829465605602"/>
        <n v="1.8558655731681899"/>
        <n v="2.7344014944199899"/>
        <n v="2.1317372971872199"/>
        <n v="0.97976991077528597"/>
        <n v="0.99432502355128705"/>
        <n v="2.0746999767813299"/>
        <n v="0.50050803580465597"/>
        <n v="2.5324384175876702"/>
        <n v="1.46337803578569"/>
        <n v="2.3428367731918498"/>
        <n v="1.1588463344505999"/>
        <n v="1.5237487447337299"/>
        <n v="0"/>
        <n v="1.05862201444398"/>
        <n v="2.2297401841747599"/>
        <n v="0.194743280745515"/>
        <n v="3.5069200713692101"/>
        <n v="3.5522869433509401"/>
        <n v="2.2384913542902298"/>
        <n v="2.7084723438568701"/>
        <n v="0.73290823390138604"/>
        <n v="0.96548244530452998"/>
        <n v="2.5552328599380898"/>
        <n v="0.744322299921235"/>
        <n v="0.72205658139519102"/>
        <n v="1.2712295298373399"/>
        <n v="2.5261421414202299"/>
        <n v="0.94241539535952301"/>
        <n v="1.5156390983950201"/>
        <n v="0.64827392670819095"/>
        <n v="2.04885008213886"/>
        <n v="0.84229599925713805"/>
        <n v="1.4641879236906401"/>
        <n v="1.48794686516979"/>
        <n v="2.58756579637063"/>
        <n v="3.2208069781948701"/>
        <n v="3.5451594318003101"/>
        <n v="3.0895989530746402"/>
        <n v="1.9199564399182001"/>
        <n v="2.1985931845869602"/>
        <n v="0.87821261676277595"/>
        <n v="1.3403686475123999"/>
        <n v="1.8195113357138999"/>
        <n v="0.61935093146753395"/>
        <n v="3.6194608696935102"/>
        <n v="2.1749027962098699"/>
        <n v="2.9744060149110401"/>
        <n v="0.98073584374880196"/>
        <n v="3.1016738090151001"/>
        <n v="3.49825734177332"/>
        <n v="2.5905534450529801"/>
        <n v="3.5350037581843101"/>
        <n v="2.81992174529318"/>
        <n v="2.0165967745176601"/>
        <n v="1.37118503889171"/>
        <n v="2.1047955879699001"/>
        <n v="3.0304390886965198"/>
        <n v="3.5824218723119499"/>
        <n v="2.4265467060392401"/>
        <n v="3.1614362702583598"/>
        <n v="2.1226385296288601"/>
        <n v="2.2048605809973099"/>
        <n v="1.1829875004980399"/>
        <n v="2.7387957163435899"/>
        <n v="2.2379013009826001"/>
        <n v="3.13948154638038"/>
        <n v="1.04604477108009"/>
        <n v="0.81645824521379895"/>
        <n v="2.0335446205211798"/>
        <n v="2.4320785227822301"/>
        <n v="2.6597713195278998"/>
        <n v="3.58888793976501"/>
        <n v="2.314587627811"/>
        <n v="1.0072258202140301"/>
        <n v="2.88161232146052"/>
        <n v="2.8045049289116801"/>
        <n v="1.7629211240998599"/>
        <n v="1.11991126295732"/>
        <n v="1.0306575057198699"/>
        <n v="3.07561935366143"/>
        <n v="2.6314340651244099"/>
        <n v="0.50306690732791404"/>
        <n v="2.7842378371428098"/>
        <n v="0.24762676508656301"/>
        <n v="1.1895487696187801"/>
        <n v="3.37599400880283"/>
        <n v="1.2935735564459501"/>
        <n v="3.7185869042869601"/>
        <n v="2.6705596148198198"/>
        <n v="2.3696480134496101"/>
        <n v="1.6244868202221501"/>
        <n v="2.5374768278143498"/>
        <n v="2.2984179285094699"/>
        <n v="2.2598041504961102"/>
        <n v="1.3213433008698801"/>
        <n v="0.94997422812385601"/>
        <n v="0.81878661607305103"/>
        <n v="2.33922451275359"/>
        <n v="2.6827762879633701"/>
        <n v="1.54383747108562"/>
        <n v="0.196901104823622"/>
        <n v="2.74861025744808"/>
        <n v="1.1048937876999401"/>
        <n v="2.5534398114439298"/>
        <n v="3.2742334588098698"/>
        <n v="3.1860603780389098"/>
        <n v="1.7221157502405799"/>
        <n v="2.3380463575903701"/>
        <n v="3.2739987484343298"/>
        <n v="2.9935023912052698"/>
        <n v="0.89639789902339495"/>
        <n v="2.9610552588035901"/>
        <n v="2.6743510954520899"/>
        <n v="1.21787315133336"/>
        <n v="1.36559111032951"/>
        <n v="1.52227484468542"/>
        <n v="2.2314023973705002"/>
        <n v="2.1352663548900899"/>
        <n v="2.2556989149631401"/>
        <n v="2.7511457876117"/>
        <n v="0.89763415861640306"/>
        <n v="3.1173544347854998"/>
        <n v="1.2875951312580001"/>
        <n v="0.57105309803302495"/>
        <n v="0.58135579949497096"/>
        <n v="1.6434624040739501"/>
        <n v="1.23484404078202"/>
        <n v="2.96809361957976"/>
        <n v="2.0092984797223101"/>
        <n v="1.14608603412959"/>
        <n v="2.19236319785528"/>
        <n v="0.94573087329994998"/>
        <n v="0.56725002849029005"/>
        <n v="0.97076434709282899"/>
        <n v="1.6560601255004599"/>
        <n v="2.8393132491560298"/>
        <n v="0.189818059909026"/>
        <n v="3.2582946850228698"/>
        <n v="1.92005585265889"/>
        <n v="2.0217714943693701"/>
        <n v="0.12593307462494899"/>
        <n v="1.2870134123902199"/>
        <n v="2.5914267032293101"/>
        <n v="1.4633796485355901"/>
        <n v="1.4655493864338101"/>
        <n v="1.71046683770953"/>
        <n v="2.2885056852522299"/>
        <n v="1.96096884865323"/>
        <n v="2.6216233262773398"/>
        <n v="0.76831638598366703"/>
        <n v="1.8064063454058099"/>
        <n v="0.88186635307776995"/>
        <n v="0.81706822065634699"/>
        <n v="1.4461325277019601"/>
        <n v="3.33909436220031"/>
        <n v="0.819625477947445"/>
        <n v="0.676817973111282"/>
        <n v="1.3895448744649701"/>
        <n v="1.99150841402517"/>
        <n v="1.6398675504146101"/>
        <n v="2.5117430206054201"/>
        <n v="2.9839199495864901"/>
        <n v="1.2586548544320499"/>
        <n v="1.4179299273727499"/>
        <n v="1.59701657238176"/>
        <n v="3.0886998681859499"/>
        <n v="1.6413414427787101"/>
        <n v="2.5868706562634198"/>
        <n v="2.38903264521218"/>
        <n v="1.8981464002812201"/>
        <n v="2.1104879749817398"/>
        <n v="1.7002735894049099"/>
        <n v="1.0444999950877101"/>
        <n v="1.19416613376447"/>
        <n v="2.6491368281965499"/>
        <n v="1.23414138892773"/>
        <n v="2.1274088659128201"/>
        <n v="2.9138876491381298"/>
        <n v="3.1193939131503701"/>
        <n v="1.0363787383257299"/>
        <n v="2.40328454702352"/>
        <n v="3.1565080639094401"/>
        <n v="2.7234718587400599"/>
        <n v="1.5309511463109"/>
        <n v="3.4685813491357198"/>
        <n v="2.3020320443414"/>
        <n v="1.2656779091994299"/>
        <n v="1.4796022277390299"/>
        <n v="1.4450767191993701"/>
        <n v="0.80943381036846196"/>
        <n v="2.1502332699887798"/>
        <n v="0.55914371551184405"/>
        <n v="0.58078848517705595"/>
        <n v="1.6020891959846699"/>
        <n v="1.00279836358193"/>
        <n v="1.66306345319906"/>
        <n v="1.53154645971956"/>
        <n v="2.2058421470303302"/>
        <n v="1.1553385609656599"/>
        <n v="2.1537583398693898"/>
        <n v="2.5927866863170301"/>
        <n v="0.91233050709555397"/>
        <n v="0.69563093345994598"/>
        <n v="2.1396198913689801"/>
        <n v="1.5504493308923299"/>
        <n v="1.5475367003506"/>
        <n v="2.9665480342949402"/>
        <n v="1.63367937100322"/>
        <n v="2.3325403195354002"/>
        <n v="3.2702623094047301"/>
        <n v="0.34647059259027602"/>
        <n v="1.8949043363400999"/>
        <n v="1.4567426010872599"/>
        <n v="2.5537231512721799"/>
        <n v="2.2241974612119999"/>
        <n v="1.84760041810842"/>
        <n v="1.8497607071334801"/>
        <n v="3.2687942155602099"/>
        <n v="2.54651663724602"/>
        <n v="3.1012292205041199"/>
        <n v="0.65595407796267702"/>
        <n v="3.0885123056166699"/>
        <n v="1.99255980548199"/>
        <n v="2.60524744554785"/>
        <n v="1.73397245423346"/>
        <n v="1.1138487878591199"/>
        <n v="1.6492502516617999"/>
        <n v="1.3375549802098701"/>
        <n v="1.9846599185571701"/>
        <n v="3.0608816559669401"/>
        <n v="2.392897358425"/>
        <n v="2.0837969900967899"/>
        <n v="3.6457380487704398"/>
        <n v="0.32228608162540701"/>
        <n v="1.1295143343615399"/>
        <n v="0.63075694386661096"/>
        <n v="3.1572296388040901"/>
        <n v="0.680087787496653"/>
        <n v="0.79635984788664704"/>
        <n v="2.8440392149255902"/>
        <n v="1.2534518542158499"/>
        <n v="0.53450888053885603"/>
        <n v="3.1910461182199099"/>
        <n v="2.8154212753091099"/>
        <n v="2.1571223032650901"/>
        <n v="2.7238280604010598"/>
        <n v="2.6276939055543398"/>
        <n v="0.91241562083542505"/>
        <n v="2.6096230818174502"/>
        <n v="2.98199225540615"/>
        <n v="1.6250827736961899"/>
        <n v="1.3616984178594"/>
        <n v="1.9169618961294299"/>
        <n v="1.01125319461675"/>
        <n v="2.3321590405051098"/>
        <n v="3.3879383477659899"/>
        <n v="2.3846907913584001"/>
        <n v="2.7808169956104898"/>
        <n v="0.53483575353947299"/>
        <n v="2.5422143487820299"/>
        <n v="3.0071290674312801"/>
        <n v="2.9858098143768101"/>
        <n v="1.9493060573283001"/>
        <n v="2.1478451963634901"/>
        <n v="1.17576802523584"/>
        <n v="1.40036325409442"/>
        <n v="1.7555440233413899"/>
        <n v="2.9000962392055398"/>
        <n v="1.03345949069015"/>
        <n v="1.90774236338715"/>
        <n v="1.88090928976547"/>
        <n v="2.6149503539497898"/>
        <n v="3.1071355935726102"/>
        <n v="1.3864645615"/>
        <n v="2.8337600718448099"/>
        <n v="1.0861513973549899"/>
        <n v="2.8740373600353002"/>
        <n v="2.8956713046591802"/>
        <n v="3.1813076022771098"/>
        <n v="0.471283108843431"/>
        <n v="2.2113795279733499"/>
        <n v="3.37525225524608"/>
        <n v="3.2038581907969199"/>
        <n v="3.3501791105924799"/>
        <n v="1.72579152974271"/>
        <n v="2.2166038146961"/>
        <n v="2.00462731700748"/>
        <n v="0.71574204554467402"/>
        <n v="3.8806400848697402"/>
        <n v="1.6895281584189401"/>
        <n v="1.7579788035014201"/>
        <n v="2.13639954624038"/>
        <n v="0.91156827064668799"/>
        <n v="1.1378011102056"/>
        <n v="2.34926492736688"/>
        <n v="0.62374743654728704"/>
        <n v="0.34102944592512602"/>
        <n v="2.2238136667516901"/>
        <n v="2.32824038463015"/>
        <n v="1.62307782200885"/>
        <n v="2.2008963215285902"/>
        <n v="2.58411065506386"/>
        <n v="2.9965033042477001"/>
        <n v="2.3739934814358401"/>
        <n v="2.83040445570954"/>
        <n v="2.5251155338354798"/>
        <n v="1.0429816505882701"/>
        <n v="2.6610969036702099"/>
        <n v="1.59959388772805"/>
        <n v="1.7994091491724999"/>
        <n v="2.6576385566959999"/>
        <n v="2.9984840618830901"/>
        <n v="2.97740843289268"/>
        <n v="1.3751641369478"/>
        <n v="1.84886644019123"/>
        <n v="2.44245620012927"/>
        <n v="2.8560385143532101"/>
        <n v="1.2061502302550899"/>
        <n v="0.89590299039907695"/>
        <n v="0.27319092915834198"/>
      </sharedItems>
    </cacheField>
    <cacheField name="GradeClass" numFmtId="0">
      <sharedItems containsSemiMixedTypes="0" containsString="0" containsNumber="1" containsInteger="1" minValue="0" maxValue="4"/>
    </cacheField>
    <cacheField name="Grade" numFmtId="0">
      <sharedItems count="5">
        <s v="C"/>
        <s v="D"/>
        <s v="A"/>
        <s v="B"/>
        <s v="F"/>
      </sharedItems>
    </cacheField>
    <cacheField name="Seconds (StudyTimeWeekly)" numFmtId="0" databaseField="0">
      <fieldGroup base="6">
        <rangePr groupBy="seconds" startDate="1899-12-30T00:11:34" endDate="1900-01-18T23:28:27"/>
        <groupItems count="62">
          <s v="&lt;00-01-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19-01-1900"/>
        </groupItems>
      </fieldGroup>
    </cacheField>
    <cacheField name="Minutes (StudyTimeWeekly)" numFmtId="0" databaseField="0">
      <fieldGroup base="6">
        <rangePr groupBy="minutes" startDate="1899-12-30T00:11:34" endDate="1900-01-18T23:28:27"/>
        <groupItems count="62">
          <s v="&lt;00-01-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19-01-1900"/>
        </groupItems>
      </fieldGroup>
    </cacheField>
    <cacheField name="Hours (StudyTimeWeekly)" numFmtId="0" databaseField="0">
      <fieldGroup base="6">
        <rangePr groupBy="hours" startDate="1899-12-30T00:11:34" endDate="1900-01-18T23:28:27"/>
        <groupItems count="26">
          <s v="&lt;00-01-1900"/>
          <s v="00"/>
          <s v="01"/>
          <s v="02"/>
          <s v="03"/>
          <s v="04"/>
          <s v="05"/>
          <s v="06"/>
          <s v="07"/>
          <s v="08"/>
          <s v="09"/>
          <s v="10"/>
          <s v="11"/>
          <s v="12"/>
          <s v="13"/>
          <s v="14"/>
          <s v="15"/>
          <s v="16"/>
          <s v="17"/>
          <s v="18"/>
          <s v="19"/>
          <s v="20"/>
          <s v="21"/>
          <s v="22"/>
          <s v="23"/>
          <s v="&gt;19-01-1900"/>
        </groupItems>
      </fieldGroup>
    </cacheField>
    <cacheField name="Days (StudyTimeWeekly)" numFmtId="0" databaseField="0">
      <fieldGroup base="6">
        <rangePr groupBy="days" startDate="1899-12-30T00:11:34" endDate="1900-01-18T23:28:27"/>
        <groupItems count="368">
          <s v="&lt;00-01-1900"/>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9-01-1900"/>
        </groupItems>
      </fieldGroup>
    </cacheField>
  </cacheFields>
  <extLst>
    <ext xmlns:x14="http://schemas.microsoft.com/office/spreadsheetml/2009/9/main" uri="{725AE2AE-9491-48be-B2B4-4EB974FC3084}">
      <x14:pivotCacheDefinition pivotCacheId="204496573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5">
  <r>
    <n v="1001"/>
    <n v="17"/>
    <n v="1"/>
    <x v="0"/>
    <x v="0"/>
    <x v="0"/>
    <x v="0"/>
    <x v="0"/>
    <x v="0"/>
    <x v="0"/>
    <x v="0"/>
    <x v="0"/>
    <x v="0"/>
    <x v="0"/>
    <x v="0"/>
    <n v="2"/>
    <x v="0"/>
  </r>
  <r>
    <n v="1002"/>
    <n v="18"/>
    <n v="0"/>
    <x v="1"/>
    <x v="0"/>
    <x v="1"/>
    <x v="1"/>
    <x v="1"/>
    <x v="1"/>
    <x v="1"/>
    <x v="0"/>
    <x v="0"/>
    <x v="1"/>
    <x v="0"/>
    <x v="1"/>
    <n v="1"/>
    <x v="1"/>
  </r>
  <r>
    <n v="1003"/>
    <n v="15"/>
    <n v="0"/>
    <x v="1"/>
    <x v="1"/>
    <x v="2"/>
    <x v="2"/>
    <x v="2"/>
    <x v="1"/>
    <x v="0"/>
    <x v="0"/>
    <x v="0"/>
    <x v="1"/>
    <x v="0"/>
    <x v="2"/>
    <n v="4"/>
    <x v="2"/>
  </r>
  <r>
    <n v="1004"/>
    <n v="17"/>
    <n v="1"/>
    <x v="0"/>
    <x v="0"/>
    <x v="2"/>
    <x v="3"/>
    <x v="3"/>
    <x v="1"/>
    <x v="2"/>
    <x v="1"/>
    <x v="0"/>
    <x v="1"/>
    <x v="0"/>
    <x v="3"/>
    <n v="3"/>
    <x v="3"/>
  </r>
  <r>
    <n v="1005"/>
    <n v="17"/>
    <n v="1"/>
    <x v="0"/>
    <x v="0"/>
    <x v="0"/>
    <x v="4"/>
    <x v="4"/>
    <x v="0"/>
    <x v="2"/>
    <x v="0"/>
    <x v="0"/>
    <x v="1"/>
    <x v="0"/>
    <x v="4"/>
    <n v="4"/>
    <x v="2"/>
  </r>
  <r>
    <n v="1006"/>
    <n v="18"/>
    <n v="0"/>
    <x v="1"/>
    <x v="0"/>
    <x v="1"/>
    <x v="5"/>
    <x v="1"/>
    <x v="1"/>
    <x v="1"/>
    <x v="1"/>
    <x v="0"/>
    <x v="1"/>
    <x v="0"/>
    <x v="5"/>
    <n v="1"/>
    <x v="1"/>
  </r>
  <r>
    <n v="1007"/>
    <n v="15"/>
    <n v="0"/>
    <x v="1"/>
    <x v="2"/>
    <x v="1"/>
    <x v="6"/>
    <x v="5"/>
    <x v="1"/>
    <x v="2"/>
    <x v="0"/>
    <x v="1"/>
    <x v="1"/>
    <x v="0"/>
    <x v="6"/>
    <n v="2"/>
    <x v="0"/>
  </r>
  <r>
    <n v="1008"/>
    <n v="15"/>
    <n v="1"/>
    <x v="0"/>
    <x v="2"/>
    <x v="3"/>
    <x v="7"/>
    <x v="6"/>
    <x v="0"/>
    <x v="1"/>
    <x v="1"/>
    <x v="0"/>
    <x v="1"/>
    <x v="0"/>
    <x v="7"/>
    <n v="4"/>
    <x v="2"/>
  </r>
  <r>
    <n v="1009"/>
    <n v="17"/>
    <n v="0"/>
    <x v="1"/>
    <x v="0"/>
    <x v="4"/>
    <x v="8"/>
    <x v="7"/>
    <x v="1"/>
    <x v="0"/>
    <x v="0"/>
    <x v="1"/>
    <x v="1"/>
    <x v="1"/>
    <x v="8"/>
    <n v="2"/>
    <x v="0"/>
  </r>
  <r>
    <n v="1010"/>
    <n v="16"/>
    <n v="1"/>
    <x v="0"/>
    <x v="0"/>
    <x v="1"/>
    <x v="9"/>
    <x v="1"/>
    <x v="1"/>
    <x v="2"/>
    <x v="1"/>
    <x v="0"/>
    <x v="1"/>
    <x v="0"/>
    <x v="9"/>
    <n v="0"/>
    <x v="4"/>
  </r>
  <r>
    <n v="1011"/>
    <n v="17"/>
    <n v="0"/>
    <x v="1"/>
    <x v="0"/>
    <x v="1"/>
    <x v="10"/>
    <x v="8"/>
    <x v="1"/>
    <x v="1"/>
    <x v="0"/>
    <x v="0"/>
    <x v="1"/>
    <x v="0"/>
    <x v="10"/>
    <n v="3"/>
    <x v="3"/>
  </r>
  <r>
    <n v="1012"/>
    <n v="17"/>
    <n v="0"/>
    <x v="1"/>
    <x v="0"/>
    <x v="1"/>
    <x v="11"/>
    <x v="9"/>
    <x v="1"/>
    <x v="0"/>
    <x v="0"/>
    <x v="0"/>
    <x v="1"/>
    <x v="1"/>
    <x v="11"/>
    <n v="4"/>
    <x v="2"/>
  </r>
  <r>
    <n v="1013"/>
    <n v="17"/>
    <n v="0"/>
    <x v="1"/>
    <x v="2"/>
    <x v="1"/>
    <x v="12"/>
    <x v="10"/>
    <x v="1"/>
    <x v="2"/>
    <x v="1"/>
    <x v="0"/>
    <x v="1"/>
    <x v="0"/>
    <x v="12"/>
    <n v="4"/>
    <x v="2"/>
  </r>
  <r>
    <n v="1014"/>
    <n v="17"/>
    <n v="0"/>
    <x v="1"/>
    <x v="2"/>
    <x v="0"/>
    <x v="13"/>
    <x v="10"/>
    <x v="1"/>
    <x v="3"/>
    <x v="0"/>
    <x v="1"/>
    <x v="1"/>
    <x v="0"/>
    <x v="13"/>
    <n v="4"/>
    <x v="2"/>
  </r>
  <r>
    <n v="1015"/>
    <n v="18"/>
    <n v="1"/>
    <x v="0"/>
    <x v="0"/>
    <x v="1"/>
    <x v="14"/>
    <x v="11"/>
    <x v="0"/>
    <x v="0"/>
    <x v="0"/>
    <x v="0"/>
    <x v="1"/>
    <x v="0"/>
    <x v="14"/>
    <n v="3"/>
    <x v="3"/>
  </r>
  <r>
    <n v="1016"/>
    <n v="15"/>
    <n v="0"/>
    <x v="1"/>
    <x v="0"/>
    <x v="0"/>
    <x v="15"/>
    <x v="4"/>
    <x v="0"/>
    <x v="4"/>
    <x v="0"/>
    <x v="1"/>
    <x v="1"/>
    <x v="0"/>
    <x v="15"/>
    <n v="4"/>
    <x v="2"/>
  </r>
  <r>
    <n v="1017"/>
    <n v="18"/>
    <n v="0"/>
    <x v="1"/>
    <x v="3"/>
    <x v="1"/>
    <x v="16"/>
    <x v="3"/>
    <x v="1"/>
    <x v="0"/>
    <x v="1"/>
    <x v="1"/>
    <x v="1"/>
    <x v="0"/>
    <x v="16"/>
    <n v="3"/>
    <x v="3"/>
  </r>
  <r>
    <n v="1018"/>
    <n v="18"/>
    <n v="1"/>
    <x v="0"/>
    <x v="0"/>
    <x v="4"/>
    <x v="17"/>
    <x v="12"/>
    <x v="0"/>
    <x v="0"/>
    <x v="0"/>
    <x v="0"/>
    <x v="1"/>
    <x v="0"/>
    <x v="17"/>
    <n v="4"/>
    <x v="2"/>
  </r>
  <r>
    <n v="1019"/>
    <n v="18"/>
    <n v="0"/>
    <x v="1"/>
    <x v="2"/>
    <x v="2"/>
    <x v="18"/>
    <x v="13"/>
    <x v="1"/>
    <x v="0"/>
    <x v="1"/>
    <x v="0"/>
    <x v="1"/>
    <x v="1"/>
    <x v="18"/>
    <n v="4"/>
    <x v="2"/>
  </r>
  <r>
    <n v="1020"/>
    <n v="17"/>
    <n v="0"/>
    <x v="1"/>
    <x v="0"/>
    <x v="1"/>
    <x v="19"/>
    <x v="11"/>
    <x v="1"/>
    <x v="0"/>
    <x v="0"/>
    <x v="0"/>
    <x v="0"/>
    <x v="0"/>
    <x v="19"/>
    <n v="3"/>
    <x v="3"/>
  </r>
  <r>
    <n v="1021"/>
    <n v="16"/>
    <n v="1"/>
    <x v="0"/>
    <x v="0"/>
    <x v="2"/>
    <x v="20"/>
    <x v="14"/>
    <x v="1"/>
    <x v="2"/>
    <x v="0"/>
    <x v="0"/>
    <x v="1"/>
    <x v="1"/>
    <x v="20"/>
    <n v="2"/>
    <x v="0"/>
  </r>
  <r>
    <n v="1022"/>
    <n v="15"/>
    <n v="0"/>
    <x v="1"/>
    <x v="0"/>
    <x v="0"/>
    <x v="21"/>
    <x v="15"/>
    <x v="1"/>
    <x v="1"/>
    <x v="1"/>
    <x v="0"/>
    <x v="1"/>
    <x v="0"/>
    <x v="21"/>
    <n v="4"/>
    <x v="2"/>
  </r>
  <r>
    <n v="1023"/>
    <n v="16"/>
    <n v="1"/>
    <x v="0"/>
    <x v="2"/>
    <x v="4"/>
    <x v="22"/>
    <x v="13"/>
    <x v="0"/>
    <x v="1"/>
    <x v="0"/>
    <x v="0"/>
    <x v="1"/>
    <x v="0"/>
    <x v="22"/>
    <n v="4"/>
    <x v="2"/>
  </r>
  <r>
    <n v="1024"/>
    <n v="18"/>
    <n v="1"/>
    <x v="0"/>
    <x v="3"/>
    <x v="3"/>
    <x v="23"/>
    <x v="16"/>
    <x v="1"/>
    <x v="0"/>
    <x v="1"/>
    <x v="0"/>
    <x v="1"/>
    <x v="0"/>
    <x v="23"/>
    <n v="4"/>
    <x v="2"/>
  </r>
  <r>
    <n v="1025"/>
    <n v="18"/>
    <n v="1"/>
    <x v="0"/>
    <x v="0"/>
    <x v="1"/>
    <x v="24"/>
    <x v="9"/>
    <x v="1"/>
    <x v="0"/>
    <x v="0"/>
    <x v="0"/>
    <x v="1"/>
    <x v="0"/>
    <x v="24"/>
    <n v="4"/>
    <x v="2"/>
  </r>
  <r>
    <n v="1026"/>
    <n v="16"/>
    <n v="1"/>
    <x v="0"/>
    <x v="0"/>
    <x v="2"/>
    <x v="25"/>
    <x v="17"/>
    <x v="1"/>
    <x v="3"/>
    <x v="0"/>
    <x v="0"/>
    <x v="0"/>
    <x v="0"/>
    <x v="25"/>
    <n v="2"/>
    <x v="0"/>
  </r>
  <r>
    <n v="1027"/>
    <n v="16"/>
    <n v="0"/>
    <x v="1"/>
    <x v="0"/>
    <x v="1"/>
    <x v="26"/>
    <x v="14"/>
    <x v="1"/>
    <x v="0"/>
    <x v="0"/>
    <x v="1"/>
    <x v="1"/>
    <x v="0"/>
    <x v="26"/>
    <n v="2"/>
    <x v="0"/>
  </r>
  <r>
    <n v="1028"/>
    <n v="16"/>
    <n v="1"/>
    <x v="0"/>
    <x v="0"/>
    <x v="2"/>
    <x v="27"/>
    <x v="18"/>
    <x v="1"/>
    <x v="2"/>
    <x v="0"/>
    <x v="0"/>
    <x v="0"/>
    <x v="0"/>
    <x v="27"/>
    <n v="3"/>
    <x v="3"/>
  </r>
  <r>
    <n v="1029"/>
    <n v="18"/>
    <n v="0"/>
    <x v="1"/>
    <x v="0"/>
    <x v="4"/>
    <x v="28"/>
    <x v="5"/>
    <x v="1"/>
    <x v="2"/>
    <x v="1"/>
    <x v="0"/>
    <x v="1"/>
    <x v="0"/>
    <x v="28"/>
    <n v="2"/>
    <x v="0"/>
  </r>
  <r>
    <n v="1030"/>
    <n v="18"/>
    <n v="0"/>
    <x v="1"/>
    <x v="0"/>
    <x v="0"/>
    <x v="29"/>
    <x v="16"/>
    <x v="1"/>
    <x v="2"/>
    <x v="1"/>
    <x v="0"/>
    <x v="1"/>
    <x v="0"/>
    <x v="29"/>
    <n v="4"/>
    <x v="2"/>
  </r>
  <r>
    <n v="1031"/>
    <n v="15"/>
    <n v="0"/>
    <x v="1"/>
    <x v="1"/>
    <x v="0"/>
    <x v="30"/>
    <x v="19"/>
    <x v="0"/>
    <x v="4"/>
    <x v="0"/>
    <x v="1"/>
    <x v="1"/>
    <x v="0"/>
    <x v="30"/>
    <n v="4"/>
    <x v="2"/>
  </r>
  <r>
    <n v="1032"/>
    <n v="15"/>
    <n v="0"/>
    <x v="1"/>
    <x v="0"/>
    <x v="2"/>
    <x v="31"/>
    <x v="4"/>
    <x v="1"/>
    <x v="3"/>
    <x v="0"/>
    <x v="0"/>
    <x v="1"/>
    <x v="1"/>
    <x v="31"/>
    <n v="4"/>
    <x v="2"/>
  </r>
  <r>
    <n v="1033"/>
    <n v="18"/>
    <n v="0"/>
    <x v="1"/>
    <x v="0"/>
    <x v="2"/>
    <x v="32"/>
    <x v="15"/>
    <x v="1"/>
    <x v="1"/>
    <x v="0"/>
    <x v="1"/>
    <x v="1"/>
    <x v="0"/>
    <x v="32"/>
    <n v="4"/>
    <x v="2"/>
  </r>
  <r>
    <n v="1034"/>
    <n v="16"/>
    <n v="0"/>
    <x v="1"/>
    <x v="3"/>
    <x v="2"/>
    <x v="33"/>
    <x v="10"/>
    <x v="1"/>
    <x v="4"/>
    <x v="1"/>
    <x v="1"/>
    <x v="1"/>
    <x v="0"/>
    <x v="33"/>
    <n v="4"/>
    <x v="2"/>
  </r>
  <r>
    <n v="1035"/>
    <n v="16"/>
    <n v="0"/>
    <x v="1"/>
    <x v="0"/>
    <x v="2"/>
    <x v="34"/>
    <x v="20"/>
    <x v="0"/>
    <x v="0"/>
    <x v="1"/>
    <x v="1"/>
    <x v="1"/>
    <x v="0"/>
    <x v="34"/>
    <n v="4"/>
    <x v="2"/>
  </r>
  <r>
    <n v="1036"/>
    <n v="15"/>
    <n v="0"/>
    <x v="1"/>
    <x v="3"/>
    <x v="1"/>
    <x v="35"/>
    <x v="21"/>
    <x v="1"/>
    <x v="1"/>
    <x v="0"/>
    <x v="0"/>
    <x v="1"/>
    <x v="0"/>
    <x v="35"/>
    <n v="4"/>
    <x v="2"/>
  </r>
  <r>
    <n v="1037"/>
    <n v="18"/>
    <n v="0"/>
    <x v="1"/>
    <x v="0"/>
    <x v="1"/>
    <x v="36"/>
    <x v="2"/>
    <x v="0"/>
    <x v="1"/>
    <x v="0"/>
    <x v="0"/>
    <x v="1"/>
    <x v="0"/>
    <x v="36"/>
    <n v="4"/>
    <x v="2"/>
  </r>
  <r>
    <n v="1038"/>
    <n v="15"/>
    <n v="0"/>
    <x v="1"/>
    <x v="1"/>
    <x v="1"/>
    <x v="37"/>
    <x v="10"/>
    <x v="0"/>
    <x v="1"/>
    <x v="0"/>
    <x v="1"/>
    <x v="1"/>
    <x v="0"/>
    <x v="37"/>
    <n v="4"/>
    <x v="2"/>
  </r>
  <r>
    <n v="1039"/>
    <n v="15"/>
    <n v="1"/>
    <x v="0"/>
    <x v="2"/>
    <x v="1"/>
    <x v="38"/>
    <x v="22"/>
    <x v="0"/>
    <x v="1"/>
    <x v="1"/>
    <x v="1"/>
    <x v="1"/>
    <x v="0"/>
    <x v="38"/>
    <n v="1"/>
    <x v="1"/>
  </r>
  <r>
    <n v="1040"/>
    <n v="17"/>
    <n v="1"/>
    <x v="0"/>
    <x v="1"/>
    <x v="1"/>
    <x v="39"/>
    <x v="10"/>
    <x v="0"/>
    <x v="2"/>
    <x v="1"/>
    <x v="1"/>
    <x v="1"/>
    <x v="0"/>
    <x v="39"/>
    <n v="4"/>
    <x v="2"/>
  </r>
  <r>
    <n v="1041"/>
    <n v="17"/>
    <n v="1"/>
    <x v="0"/>
    <x v="3"/>
    <x v="0"/>
    <x v="40"/>
    <x v="21"/>
    <x v="0"/>
    <x v="1"/>
    <x v="0"/>
    <x v="0"/>
    <x v="1"/>
    <x v="0"/>
    <x v="40"/>
    <n v="4"/>
    <x v="2"/>
  </r>
  <r>
    <n v="1042"/>
    <n v="17"/>
    <n v="0"/>
    <x v="1"/>
    <x v="0"/>
    <x v="1"/>
    <x v="41"/>
    <x v="0"/>
    <x v="1"/>
    <x v="0"/>
    <x v="0"/>
    <x v="0"/>
    <x v="1"/>
    <x v="0"/>
    <x v="41"/>
    <n v="2"/>
    <x v="0"/>
  </r>
  <r>
    <n v="1043"/>
    <n v="16"/>
    <n v="1"/>
    <x v="0"/>
    <x v="3"/>
    <x v="0"/>
    <x v="42"/>
    <x v="19"/>
    <x v="0"/>
    <x v="3"/>
    <x v="0"/>
    <x v="0"/>
    <x v="1"/>
    <x v="0"/>
    <x v="42"/>
    <n v="2"/>
    <x v="0"/>
  </r>
  <r>
    <n v="1044"/>
    <n v="18"/>
    <n v="1"/>
    <x v="0"/>
    <x v="0"/>
    <x v="1"/>
    <x v="43"/>
    <x v="11"/>
    <x v="1"/>
    <x v="0"/>
    <x v="0"/>
    <x v="1"/>
    <x v="1"/>
    <x v="0"/>
    <x v="43"/>
    <n v="2"/>
    <x v="0"/>
  </r>
  <r>
    <n v="1045"/>
    <n v="18"/>
    <n v="1"/>
    <x v="0"/>
    <x v="0"/>
    <x v="1"/>
    <x v="44"/>
    <x v="7"/>
    <x v="0"/>
    <x v="2"/>
    <x v="1"/>
    <x v="1"/>
    <x v="1"/>
    <x v="0"/>
    <x v="44"/>
    <n v="0"/>
    <x v="4"/>
  </r>
  <r>
    <n v="1046"/>
    <n v="18"/>
    <n v="0"/>
    <x v="1"/>
    <x v="0"/>
    <x v="0"/>
    <x v="45"/>
    <x v="0"/>
    <x v="1"/>
    <x v="3"/>
    <x v="0"/>
    <x v="0"/>
    <x v="0"/>
    <x v="0"/>
    <x v="45"/>
    <n v="2"/>
    <x v="0"/>
  </r>
  <r>
    <n v="1047"/>
    <n v="18"/>
    <n v="0"/>
    <x v="1"/>
    <x v="2"/>
    <x v="0"/>
    <x v="46"/>
    <x v="17"/>
    <x v="1"/>
    <x v="1"/>
    <x v="1"/>
    <x v="0"/>
    <x v="1"/>
    <x v="0"/>
    <x v="46"/>
    <n v="2"/>
    <x v="0"/>
  </r>
  <r>
    <n v="1048"/>
    <n v="17"/>
    <n v="0"/>
    <x v="1"/>
    <x v="0"/>
    <x v="0"/>
    <x v="47"/>
    <x v="9"/>
    <x v="1"/>
    <x v="0"/>
    <x v="0"/>
    <x v="0"/>
    <x v="1"/>
    <x v="0"/>
    <x v="47"/>
    <n v="4"/>
    <x v="2"/>
  </r>
  <r>
    <n v="1049"/>
    <n v="16"/>
    <n v="0"/>
    <x v="1"/>
    <x v="2"/>
    <x v="0"/>
    <x v="48"/>
    <x v="4"/>
    <x v="1"/>
    <x v="2"/>
    <x v="0"/>
    <x v="0"/>
    <x v="0"/>
    <x v="0"/>
    <x v="48"/>
    <n v="3"/>
    <x v="3"/>
  </r>
  <r>
    <n v="1050"/>
    <n v="16"/>
    <n v="1"/>
    <x v="0"/>
    <x v="2"/>
    <x v="1"/>
    <x v="49"/>
    <x v="12"/>
    <x v="1"/>
    <x v="3"/>
    <x v="1"/>
    <x v="0"/>
    <x v="1"/>
    <x v="0"/>
    <x v="49"/>
    <n v="3"/>
    <x v="3"/>
  </r>
  <r>
    <n v="1051"/>
    <n v="17"/>
    <n v="1"/>
    <x v="0"/>
    <x v="1"/>
    <x v="0"/>
    <x v="50"/>
    <x v="17"/>
    <x v="1"/>
    <x v="2"/>
    <x v="0"/>
    <x v="0"/>
    <x v="1"/>
    <x v="0"/>
    <x v="50"/>
    <n v="2"/>
    <x v="0"/>
  </r>
  <r>
    <n v="1052"/>
    <n v="16"/>
    <n v="1"/>
    <x v="0"/>
    <x v="1"/>
    <x v="4"/>
    <x v="51"/>
    <x v="19"/>
    <x v="0"/>
    <x v="1"/>
    <x v="1"/>
    <x v="0"/>
    <x v="0"/>
    <x v="0"/>
    <x v="51"/>
    <n v="4"/>
    <x v="2"/>
  </r>
  <r>
    <n v="1053"/>
    <n v="17"/>
    <n v="1"/>
    <x v="0"/>
    <x v="0"/>
    <x v="1"/>
    <x v="52"/>
    <x v="6"/>
    <x v="1"/>
    <x v="3"/>
    <x v="0"/>
    <x v="0"/>
    <x v="0"/>
    <x v="0"/>
    <x v="52"/>
    <n v="4"/>
    <x v="2"/>
  </r>
  <r>
    <n v="1054"/>
    <n v="18"/>
    <n v="0"/>
    <x v="1"/>
    <x v="0"/>
    <x v="0"/>
    <x v="53"/>
    <x v="23"/>
    <x v="1"/>
    <x v="1"/>
    <x v="0"/>
    <x v="1"/>
    <x v="1"/>
    <x v="0"/>
    <x v="53"/>
    <n v="4"/>
    <x v="2"/>
  </r>
  <r>
    <n v="1055"/>
    <n v="17"/>
    <n v="0"/>
    <x v="1"/>
    <x v="0"/>
    <x v="4"/>
    <x v="54"/>
    <x v="13"/>
    <x v="0"/>
    <x v="0"/>
    <x v="1"/>
    <x v="1"/>
    <x v="1"/>
    <x v="0"/>
    <x v="54"/>
    <n v="4"/>
    <x v="2"/>
  </r>
  <r>
    <n v="1056"/>
    <n v="18"/>
    <n v="0"/>
    <x v="1"/>
    <x v="0"/>
    <x v="1"/>
    <x v="55"/>
    <x v="15"/>
    <x v="1"/>
    <x v="0"/>
    <x v="0"/>
    <x v="1"/>
    <x v="1"/>
    <x v="0"/>
    <x v="55"/>
    <n v="4"/>
    <x v="2"/>
  </r>
  <r>
    <n v="1057"/>
    <n v="18"/>
    <n v="1"/>
    <x v="0"/>
    <x v="0"/>
    <x v="3"/>
    <x v="56"/>
    <x v="16"/>
    <x v="1"/>
    <x v="0"/>
    <x v="0"/>
    <x v="1"/>
    <x v="0"/>
    <x v="0"/>
    <x v="56"/>
    <n v="4"/>
    <x v="2"/>
  </r>
  <r>
    <n v="1058"/>
    <n v="15"/>
    <n v="0"/>
    <x v="1"/>
    <x v="0"/>
    <x v="3"/>
    <x v="57"/>
    <x v="13"/>
    <x v="1"/>
    <x v="2"/>
    <x v="1"/>
    <x v="0"/>
    <x v="1"/>
    <x v="0"/>
    <x v="57"/>
    <n v="4"/>
    <x v="2"/>
  </r>
  <r>
    <n v="1059"/>
    <n v="17"/>
    <n v="0"/>
    <x v="1"/>
    <x v="0"/>
    <x v="1"/>
    <x v="58"/>
    <x v="11"/>
    <x v="0"/>
    <x v="2"/>
    <x v="0"/>
    <x v="1"/>
    <x v="1"/>
    <x v="0"/>
    <x v="58"/>
    <n v="2"/>
    <x v="0"/>
  </r>
  <r>
    <n v="1060"/>
    <n v="15"/>
    <n v="1"/>
    <x v="0"/>
    <x v="3"/>
    <x v="4"/>
    <x v="59"/>
    <x v="21"/>
    <x v="1"/>
    <x v="2"/>
    <x v="0"/>
    <x v="1"/>
    <x v="1"/>
    <x v="0"/>
    <x v="59"/>
    <n v="4"/>
    <x v="2"/>
  </r>
  <r>
    <n v="1061"/>
    <n v="17"/>
    <n v="1"/>
    <x v="0"/>
    <x v="2"/>
    <x v="1"/>
    <x v="60"/>
    <x v="5"/>
    <x v="1"/>
    <x v="4"/>
    <x v="1"/>
    <x v="0"/>
    <x v="0"/>
    <x v="0"/>
    <x v="60"/>
    <n v="4"/>
    <x v="2"/>
  </r>
  <r>
    <n v="1062"/>
    <n v="17"/>
    <n v="0"/>
    <x v="1"/>
    <x v="0"/>
    <x v="1"/>
    <x v="61"/>
    <x v="19"/>
    <x v="1"/>
    <x v="0"/>
    <x v="0"/>
    <x v="0"/>
    <x v="0"/>
    <x v="0"/>
    <x v="61"/>
    <n v="3"/>
    <x v="3"/>
  </r>
  <r>
    <n v="1063"/>
    <n v="15"/>
    <n v="0"/>
    <x v="1"/>
    <x v="2"/>
    <x v="2"/>
    <x v="62"/>
    <x v="8"/>
    <x v="1"/>
    <x v="2"/>
    <x v="0"/>
    <x v="1"/>
    <x v="1"/>
    <x v="0"/>
    <x v="62"/>
    <n v="3"/>
    <x v="3"/>
  </r>
  <r>
    <n v="1064"/>
    <n v="15"/>
    <n v="0"/>
    <x v="1"/>
    <x v="0"/>
    <x v="1"/>
    <x v="63"/>
    <x v="18"/>
    <x v="1"/>
    <x v="0"/>
    <x v="0"/>
    <x v="1"/>
    <x v="1"/>
    <x v="0"/>
    <x v="63"/>
    <n v="3"/>
    <x v="3"/>
  </r>
  <r>
    <n v="1065"/>
    <n v="17"/>
    <n v="0"/>
    <x v="1"/>
    <x v="0"/>
    <x v="0"/>
    <x v="64"/>
    <x v="22"/>
    <x v="0"/>
    <x v="3"/>
    <x v="0"/>
    <x v="0"/>
    <x v="1"/>
    <x v="0"/>
    <x v="64"/>
    <n v="1"/>
    <x v="1"/>
  </r>
  <r>
    <n v="1066"/>
    <n v="16"/>
    <n v="0"/>
    <x v="1"/>
    <x v="2"/>
    <x v="1"/>
    <x v="65"/>
    <x v="24"/>
    <x v="0"/>
    <x v="2"/>
    <x v="1"/>
    <x v="0"/>
    <x v="1"/>
    <x v="0"/>
    <x v="65"/>
    <n v="1"/>
    <x v="1"/>
  </r>
  <r>
    <n v="1067"/>
    <n v="18"/>
    <n v="0"/>
    <x v="1"/>
    <x v="0"/>
    <x v="3"/>
    <x v="66"/>
    <x v="21"/>
    <x v="1"/>
    <x v="2"/>
    <x v="0"/>
    <x v="1"/>
    <x v="1"/>
    <x v="0"/>
    <x v="66"/>
    <n v="4"/>
    <x v="2"/>
  </r>
  <r>
    <n v="1068"/>
    <n v="15"/>
    <n v="1"/>
    <x v="0"/>
    <x v="0"/>
    <x v="1"/>
    <x v="67"/>
    <x v="25"/>
    <x v="1"/>
    <x v="4"/>
    <x v="0"/>
    <x v="1"/>
    <x v="1"/>
    <x v="0"/>
    <x v="67"/>
    <n v="4"/>
    <x v="2"/>
  </r>
  <r>
    <n v="1069"/>
    <n v="18"/>
    <n v="1"/>
    <x v="0"/>
    <x v="3"/>
    <x v="0"/>
    <x v="68"/>
    <x v="10"/>
    <x v="0"/>
    <x v="2"/>
    <x v="0"/>
    <x v="0"/>
    <x v="0"/>
    <x v="0"/>
    <x v="68"/>
    <n v="4"/>
    <x v="2"/>
  </r>
  <r>
    <n v="1070"/>
    <n v="16"/>
    <n v="1"/>
    <x v="0"/>
    <x v="1"/>
    <x v="1"/>
    <x v="69"/>
    <x v="7"/>
    <x v="1"/>
    <x v="3"/>
    <x v="0"/>
    <x v="0"/>
    <x v="0"/>
    <x v="0"/>
    <x v="69"/>
    <n v="1"/>
    <x v="1"/>
  </r>
  <r>
    <n v="1071"/>
    <n v="16"/>
    <n v="0"/>
    <x v="1"/>
    <x v="2"/>
    <x v="0"/>
    <x v="70"/>
    <x v="24"/>
    <x v="1"/>
    <x v="0"/>
    <x v="1"/>
    <x v="0"/>
    <x v="1"/>
    <x v="0"/>
    <x v="70"/>
    <n v="2"/>
    <x v="0"/>
  </r>
  <r>
    <n v="1072"/>
    <n v="16"/>
    <n v="1"/>
    <x v="0"/>
    <x v="2"/>
    <x v="1"/>
    <x v="71"/>
    <x v="25"/>
    <x v="1"/>
    <x v="2"/>
    <x v="0"/>
    <x v="0"/>
    <x v="0"/>
    <x v="1"/>
    <x v="71"/>
    <n v="4"/>
    <x v="2"/>
  </r>
  <r>
    <n v="1073"/>
    <n v="15"/>
    <n v="0"/>
    <x v="1"/>
    <x v="2"/>
    <x v="1"/>
    <x v="72"/>
    <x v="18"/>
    <x v="1"/>
    <x v="0"/>
    <x v="1"/>
    <x v="1"/>
    <x v="1"/>
    <x v="0"/>
    <x v="72"/>
    <n v="2"/>
    <x v="0"/>
  </r>
  <r>
    <n v="1074"/>
    <n v="16"/>
    <n v="0"/>
    <x v="1"/>
    <x v="0"/>
    <x v="2"/>
    <x v="73"/>
    <x v="26"/>
    <x v="0"/>
    <x v="0"/>
    <x v="0"/>
    <x v="0"/>
    <x v="1"/>
    <x v="0"/>
    <x v="73"/>
    <n v="1"/>
    <x v="1"/>
  </r>
  <r>
    <n v="1075"/>
    <n v="15"/>
    <n v="1"/>
    <x v="0"/>
    <x v="0"/>
    <x v="2"/>
    <x v="74"/>
    <x v="3"/>
    <x v="1"/>
    <x v="2"/>
    <x v="1"/>
    <x v="0"/>
    <x v="0"/>
    <x v="0"/>
    <x v="74"/>
    <n v="3"/>
    <x v="3"/>
  </r>
  <r>
    <n v="1076"/>
    <n v="16"/>
    <n v="0"/>
    <x v="1"/>
    <x v="0"/>
    <x v="2"/>
    <x v="75"/>
    <x v="4"/>
    <x v="1"/>
    <x v="2"/>
    <x v="0"/>
    <x v="1"/>
    <x v="1"/>
    <x v="0"/>
    <x v="75"/>
    <n v="4"/>
    <x v="2"/>
  </r>
  <r>
    <n v="1077"/>
    <n v="18"/>
    <n v="0"/>
    <x v="1"/>
    <x v="0"/>
    <x v="0"/>
    <x v="76"/>
    <x v="22"/>
    <x v="1"/>
    <x v="2"/>
    <x v="0"/>
    <x v="0"/>
    <x v="1"/>
    <x v="0"/>
    <x v="76"/>
    <n v="2"/>
    <x v="0"/>
  </r>
  <r>
    <n v="1078"/>
    <n v="18"/>
    <n v="1"/>
    <x v="0"/>
    <x v="2"/>
    <x v="2"/>
    <x v="77"/>
    <x v="27"/>
    <x v="0"/>
    <x v="1"/>
    <x v="1"/>
    <x v="1"/>
    <x v="1"/>
    <x v="0"/>
    <x v="77"/>
    <n v="3"/>
    <x v="3"/>
  </r>
  <r>
    <n v="1079"/>
    <n v="17"/>
    <n v="1"/>
    <x v="0"/>
    <x v="0"/>
    <x v="4"/>
    <x v="78"/>
    <x v="28"/>
    <x v="1"/>
    <x v="1"/>
    <x v="0"/>
    <x v="0"/>
    <x v="1"/>
    <x v="0"/>
    <x v="78"/>
    <n v="4"/>
    <x v="2"/>
  </r>
  <r>
    <n v="1080"/>
    <n v="18"/>
    <n v="1"/>
    <x v="0"/>
    <x v="3"/>
    <x v="1"/>
    <x v="79"/>
    <x v="15"/>
    <x v="1"/>
    <x v="2"/>
    <x v="0"/>
    <x v="1"/>
    <x v="1"/>
    <x v="0"/>
    <x v="79"/>
    <n v="4"/>
    <x v="2"/>
  </r>
  <r>
    <n v="1081"/>
    <n v="17"/>
    <n v="0"/>
    <x v="1"/>
    <x v="3"/>
    <x v="1"/>
    <x v="80"/>
    <x v="24"/>
    <x v="1"/>
    <x v="1"/>
    <x v="0"/>
    <x v="1"/>
    <x v="1"/>
    <x v="0"/>
    <x v="80"/>
    <n v="3"/>
    <x v="3"/>
  </r>
  <r>
    <n v="1082"/>
    <n v="18"/>
    <n v="1"/>
    <x v="0"/>
    <x v="1"/>
    <x v="0"/>
    <x v="81"/>
    <x v="15"/>
    <x v="1"/>
    <x v="0"/>
    <x v="0"/>
    <x v="0"/>
    <x v="1"/>
    <x v="0"/>
    <x v="81"/>
    <n v="4"/>
    <x v="2"/>
  </r>
  <r>
    <n v="1083"/>
    <n v="15"/>
    <n v="1"/>
    <x v="0"/>
    <x v="2"/>
    <x v="1"/>
    <x v="82"/>
    <x v="0"/>
    <x v="1"/>
    <x v="4"/>
    <x v="1"/>
    <x v="1"/>
    <x v="1"/>
    <x v="0"/>
    <x v="82"/>
    <n v="2"/>
    <x v="0"/>
  </r>
  <r>
    <n v="1084"/>
    <n v="18"/>
    <n v="0"/>
    <x v="1"/>
    <x v="1"/>
    <x v="1"/>
    <x v="83"/>
    <x v="12"/>
    <x v="1"/>
    <x v="1"/>
    <x v="0"/>
    <x v="1"/>
    <x v="1"/>
    <x v="0"/>
    <x v="83"/>
    <n v="4"/>
    <x v="2"/>
  </r>
  <r>
    <n v="1085"/>
    <n v="17"/>
    <n v="1"/>
    <x v="0"/>
    <x v="0"/>
    <x v="0"/>
    <x v="84"/>
    <x v="19"/>
    <x v="1"/>
    <x v="2"/>
    <x v="1"/>
    <x v="1"/>
    <x v="1"/>
    <x v="0"/>
    <x v="84"/>
    <n v="3"/>
    <x v="3"/>
  </r>
  <r>
    <n v="1086"/>
    <n v="17"/>
    <n v="1"/>
    <x v="0"/>
    <x v="1"/>
    <x v="2"/>
    <x v="85"/>
    <x v="21"/>
    <x v="1"/>
    <x v="2"/>
    <x v="0"/>
    <x v="0"/>
    <x v="1"/>
    <x v="0"/>
    <x v="85"/>
    <n v="4"/>
    <x v="2"/>
  </r>
  <r>
    <n v="1087"/>
    <n v="16"/>
    <n v="1"/>
    <x v="0"/>
    <x v="0"/>
    <x v="1"/>
    <x v="86"/>
    <x v="16"/>
    <x v="0"/>
    <x v="1"/>
    <x v="1"/>
    <x v="0"/>
    <x v="0"/>
    <x v="1"/>
    <x v="86"/>
    <n v="4"/>
    <x v="2"/>
  </r>
  <r>
    <n v="1088"/>
    <n v="15"/>
    <n v="0"/>
    <x v="1"/>
    <x v="1"/>
    <x v="1"/>
    <x v="87"/>
    <x v="20"/>
    <x v="1"/>
    <x v="1"/>
    <x v="0"/>
    <x v="0"/>
    <x v="0"/>
    <x v="0"/>
    <x v="87"/>
    <n v="4"/>
    <x v="2"/>
  </r>
  <r>
    <n v="1089"/>
    <n v="18"/>
    <n v="0"/>
    <x v="1"/>
    <x v="0"/>
    <x v="1"/>
    <x v="88"/>
    <x v="6"/>
    <x v="1"/>
    <x v="4"/>
    <x v="1"/>
    <x v="0"/>
    <x v="0"/>
    <x v="0"/>
    <x v="88"/>
    <n v="4"/>
    <x v="2"/>
  </r>
  <r>
    <n v="1090"/>
    <n v="16"/>
    <n v="0"/>
    <x v="1"/>
    <x v="1"/>
    <x v="1"/>
    <x v="89"/>
    <x v="5"/>
    <x v="1"/>
    <x v="0"/>
    <x v="0"/>
    <x v="0"/>
    <x v="0"/>
    <x v="1"/>
    <x v="89"/>
    <n v="3"/>
    <x v="3"/>
  </r>
  <r>
    <n v="1091"/>
    <n v="18"/>
    <n v="0"/>
    <x v="1"/>
    <x v="3"/>
    <x v="1"/>
    <x v="90"/>
    <x v="2"/>
    <x v="1"/>
    <x v="1"/>
    <x v="0"/>
    <x v="0"/>
    <x v="1"/>
    <x v="1"/>
    <x v="90"/>
    <n v="4"/>
    <x v="2"/>
  </r>
  <r>
    <n v="1092"/>
    <n v="18"/>
    <n v="1"/>
    <x v="0"/>
    <x v="0"/>
    <x v="0"/>
    <x v="91"/>
    <x v="1"/>
    <x v="1"/>
    <x v="0"/>
    <x v="1"/>
    <x v="1"/>
    <x v="1"/>
    <x v="0"/>
    <x v="91"/>
    <n v="0"/>
    <x v="4"/>
  </r>
  <r>
    <n v="1093"/>
    <n v="16"/>
    <n v="0"/>
    <x v="1"/>
    <x v="0"/>
    <x v="0"/>
    <x v="92"/>
    <x v="7"/>
    <x v="0"/>
    <x v="2"/>
    <x v="0"/>
    <x v="0"/>
    <x v="1"/>
    <x v="0"/>
    <x v="92"/>
    <n v="0"/>
    <x v="4"/>
  </r>
  <r>
    <n v="1094"/>
    <n v="16"/>
    <n v="0"/>
    <x v="1"/>
    <x v="3"/>
    <x v="0"/>
    <x v="93"/>
    <x v="12"/>
    <x v="0"/>
    <x v="2"/>
    <x v="0"/>
    <x v="1"/>
    <x v="1"/>
    <x v="0"/>
    <x v="93"/>
    <n v="3"/>
    <x v="3"/>
  </r>
  <r>
    <n v="1095"/>
    <n v="16"/>
    <n v="1"/>
    <x v="0"/>
    <x v="0"/>
    <x v="1"/>
    <x v="94"/>
    <x v="26"/>
    <x v="1"/>
    <x v="1"/>
    <x v="1"/>
    <x v="1"/>
    <x v="1"/>
    <x v="0"/>
    <x v="94"/>
    <n v="2"/>
    <x v="0"/>
  </r>
  <r>
    <n v="1096"/>
    <n v="16"/>
    <n v="1"/>
    <x v="0"/>
    <x v="1"/>
    <x v="2"/>
    <x v="95"/>
    <x v="13"/>
    <x v="1"/>
    <x v="2"/>
    <x v="0"/>
    <x v="0"/>
    <x v="1"/>
    <x v="1"/>
    <x v="95"/>
    <n v="4"/>
    <x v="2"/>
  </r>
  <r>
    <n v="1097"/>
    <n v="16"/>
    <n v="1"/>
    <x v="0"/>
    <x v="2"/>
    <x v="1"/>
    <x v="96"/>
    <x v="13"/>
    <x v="1"/>
    <x v="3"/>
    <x v="0"/>
    <x v="0"/>
    <x v="0"/>
    <x v="0"/>
    <x v="96"/>
    <n v="4"/>
    <x v="2"/>
  </r>
  <r>
    <n v="1098"/>
    <n v="18"/>
    <n v="0"/>
    <x v="1"/>
    <x v="0"/>
    <x v="0"/>
    <x v="97"/>
    <x v="17"/>
    <x v="1"/>
    <x v="0"/>
    <x v="0"/>
    <x v="1"/>
    <x v="1"/>
    <x v="0"/>
    <x v="97"/>
    <n v="2"/>
    <x v="0"/>
  </r>
  <r>
    <n v="1099"/>
    <n v="16"/>
    <n v="0"/>
    <x v="1"/>
    <x v="0"/>
    <x v="2"/>
    <x v="98"/>
    <x v="15"/>
    <x v="1"/>
    <x v="0"/>
    <x v="1"/>
    <x v="0"/>
    <x v="0"/>
    <x v="1"/>
    <x v="98"/>
    <n v="4"/>
    <x v="2"/>
  </r>
  <r>
    <n v="1100"/>
    <n v="15"/>
    <n v="0"/>
    <x v="1"/>
    <x v="0"/>
    <x v="1"/>
    <x v="99"/>
    <x v="29"/>
    <x v="1"/>
    <x v="0"/>
    <x v="0"/>
    <x v="0"/>
    <x v="1"/>
    <x v="0"/>
    <x v="99"/>
    <n v="4"/>
    <x v="2"/>
  </r>
  <r>
    <n v="1101"/>
    <n v="17"/>
    <n v="1"/>
    <x v="0"/>
    <x v="1"/>
    <x v="1"/>
    <x v="100"/>
    <x v="21"/>
    <x v="0"/>
    <x v="1"/>
    <x v="1"/>
    <x v="1"/>
    <x v="1"/>
    <x v="1"/>
    <x v="100"/>
    <n v="4"/>
    <x v="2"/>
  </r>
  <r>
    <n v="1102"/>
    <n v="16"/>
    <n v="1"/>
    <x v="0"/>
    <x v="0"/>
    <x v="2"/>
    <x v="101"/>
    <x v="24"/>
    <x v="1"/>
    <x v="2"/>
    <x v="1"/>
    <x v="0"/>
    <x v="0"/>
    <x v="1"/>
    <x v="101"/>
    <n v="2"/>
    <x v="0"/>
  </r>
  <r>
    <n v="1103"/>
    <n v="16"/>
    <n v="0"/>
    <x v="1"/>
    <x v="2"/>
    <x v="1"/>
    <x v="102"/>
    <x v="20"/>
    <x v="1"/>
    <x v="2"/>
    <x v="1"/>
    <x v="1"/>
    <x v="1"/>
    <x v="0"/>
    <x v="102"/>
    <n v="4"/>
    <x v="2"/>
  </r>
  <r>
    <n v="1104"/>
    <n v="18"/>
    <n v="1"/>
    <x v="0"/>
    <x v="0"/>
    <x v="0"/>
    <x v="103"/>
    <x v="16"/>
    <x v="0"/>
    <x v="0"/>
    <x v="0"/>
    <x v="1"/>
    <x v="1"/>
    <x v="0"/>
    <x v="103"/>
    <n v="4"/>
    <x v="2"/>
  </r>
  <r>
    <n v="1105"/>
    <n v="16"/>
    <n v="1"/>
    <x v="0"/>
    <x v="2"/>
    <x v="4"/>
    <x v="104"/>
    <x v="13"/>
    <x v="1"/>
    <x v="2"/>
    <x v="1"/>
    <x v="0"/>
    <x v="1"/>
    <x v="0"/>
    <x v="104"/>
    <n v="4"/>
    <x v="2"/>
  </r>
  <r>
    <n v="1106"/>
    <n v="16"/>
    <n v="1"/>
    <x v="0"/>
    <x v="1"/>
    <x v="0"/>
    <x v="105"/>
    <x v="3"/>
    <x v="1"/>
    <x v="2"/>
    <x v="0"/>
    <x v="1"/>
    <x v="0"/>
    <x v="1"/>
    <x v="105"/>
    <n v="3"/>
    <x v="3"/>
  </r>
  <r>
    <n v="1107"/>
    <n v="16"/>
    <n v="0"/>
    <x v="1"/>
    <x v="3"/>
    <x v="1"/>
    <x v="106"/>
    <x v="27"/>
    <x v="1"/>
    <x v="4"/>
    <x v="1"/>
    <x v="0"/>
    <x v="1"/>
    <x v="1"/>
    <x v="106"/>
    <n v="4"/>
    <x v="2"/>
  </r>
  <r>
    <n v="1108"/>
    <n v="18"/>
    <n v="1"/>
    <x v="0"/>
    <x v="0"/>
    <x v="4"/>
    <x v="107"/>
    <x v="9"/>
    <x v="1"/>
    <x v="1"/>
    <x v="0"/>
    <x v="1"/>
    <x v="1"/>
    <x v="0"/>
    <x v="107"/>
    <n v="4"/>
    <x v="2"/>
  </r>
  <r>
    <n v="1109"/>
    <n v="16"/>
    <n v="1"/>
    <x v="0"/>
    <x v="1"/>
    <x v="0"/>
    <x v="108"/>
    <x v="29"/>
    <x v="0"/>
    <x v="2"/>
    <x v="1"/>
    <x v="1"/>
    <x v="1"/>
    <x v="0"/>
    <x v="108"/>
    <n v="4"/>
    <x v="2"/>
  </r>
  <r>
    <n v="1110"/>
    <n v="17"/>
    <n v="0"/>
    <x v="1"/>
    <x v="1"/>
    <x v="1"/>
    <x v="109"/>
    <x v="19"/>
    <x v="0"/>
    <x v="3"/>
    <x v="0"/>
    <x v="0"/>
    <x v="1"/>
    <x v="0"/>
    <x v="109"/>
    <n v="2"/>
    <x v="0"/>
  </r>
  <r>
    <n v="1111"/>
    <n v="18"/>
    <n v="0"/>
    <x v="1"/>
    <x v="2"/>
    <x v="1"/>
    <x v="110"/>
    <x v="26"/>
    <x v="0"/>
    <x v="2"/>
    <x v="0"/>
    <x v="0"/>
    <x v="1"/>
    <x v="0"/>
    <x v="110"/>
    <n v="1"/>
    <x v="1"/>
  </r>
  <r>
    <n v="1112"/>
    <n v="17"/>
    <n v="1"/>
    <x v="0"/>
    <x v="3"/>
    <x v="4"/>
    <x v="111"/>
    <x v="14"/>
    <x v="0"/>
    <x v="3"/>
    <x v="0"/>
    <x v="0"/>
    <x v="0"/>
    <x v="0"/>
    <x v="111"/>
    <n v="0"/>
    <x v="4"/>
  </r>
  <r>
    <n v="1113"/>
    <n v="18"/>
    <n v="1"/>
    <x v="0"/>
    <x v="0"/>
    <x v="1"/>
    <x v="112"/>
    <x v="14"/>
    <x v="1"/>
    <x v="0"/>
    <x v="0"/>
    <x v="0"/>
    <x v="1"/>
    <x v="0"/>
    <x v="112"/>
    <n v="1"/>
    <x v="1"/>
  </r>
  <r>
    <n v="1114"/>
    <n v="16"/>
    <n v="0"/>
    <x v="1"/>
    <x v="0"/>
    <x v="1"/>
    <x v="113"/>
    <x v="27"/>
    <x v="0"/>
    <x v="1"/>
    <x v="0"/>
    <x v="1"/>
    <x v="0"/>
    <x v="0"/>
    <x v="113"/>
    <n v="4"/>
    <x v="2"/>
  </r>
  <r>
    <n v="1115"/>
    <n v="17"/>
    <n v="0"/>
    <x v="1"/>
    <x v="1"/>
    <x v="4"/>
    <x v="114"/>
    <x v="23"/>
    <x v="0"/>
    <x v="0"/>
    <x v="0"/>
    <x v="0"/>
    <x v="1"/>
    <x v="0"/>
    <x v="114"/>
    <n v="3"/>
    <x v="3"/>
  </r>
  <r>
    <n v="1116"/>
    <n v="18"/>
    <n v="1"/>
    <x v="0"/>
    <x v="0"/>
    <x v="2"/>
    <x v="115"/>
    <x v="9"/>
    <x v="1"/>
    <x v="4"/>
    <x v="0"/>
    <x v="0"/>
    <x v="1"/>
    <x v="1"/>
    <x v="115"/>
    <n v="4"/>
    <x v="2"/>
  </r>
  <r>
    <n v="1117"/>
    <n v="15"/>
    <n v="1"/>
    <x v="0"/>
    <x v="1"/>
    <x v="4"/>
    <x v="116"/>
    <x v="10"/>
    <x v="1"/>
    <x v="2"/>
    <x v="1"/>
    <x v="0"/>
    <x v="0"/>
    <x v="0"/>
    <x v="116"/>
    <n v="4"/>
    <x v="2"/>
  </r>
  <r>
    <n v="1118"/>
    <n v="16"/>
    <n v="1"/>
    <x v="0"/>
    <x v="1"/>
    <x v="0"/>
    <x v="117"/>
    <x v="12"/>
    <x v="1"/>
    <x v="3"/>
    <x v="0"/>
    <x v="0"/>
    <x v="1"/>
    <x v="0"/>
    <x v="117"/>
    <n v="4"/>
    <x v="2"/>
  </r>
  <r>
    <n v="1119"/>
    <n v="18"/>
    <n v="1"/>
    <x v="0"/>
    <x v="0"/>
    <x v="1"/>
    <x v="118"/>
    <x v="2"/>
    <x v="1"/>
    <x v="2"/>
    <x v="0"/>
    <x v="1"/>
    <x v="1"/>
    <x v="0"/>
    <x v="118"/>
    <n v="4"/>
    <x v="2"/>
  </r>
  <r>
    <n v="1120"/>
    <n v="15"/>
    <n v="0"/>
    <x v="1"/>
    <x v="1"/>
    <x v="1"/>
    <x v="119"/>
    <x v="22"/>
    <x v="1"/>
    <x v="0"/>
    <x v="1"/>
    <x v="0"/>
    <x v="0"/>
    <x v="1"/>
    <x v="119"/>
    <n v="0"/>
    <x v="4"/>
  </r>
  <r>
    <n v="1121"/>
    <n v="18"/>
    <n v="1"/>
    <x v="0"/>
    <x v="0"/>
    <x v="2"/>
    <x v="120"/>
    <x v="19"/>
    <x v="0"/>
    <x v="1"/>
    <x v="1"/>
    <x v="1"/>
    <x v="1"/>
    <x v="0"/>
    <x v="120"/>
    <n v="3"/>
    <x v="3"/>
  </r>
  <r>
    <n v="1122"/>
    <n v="15"/>
    <n v="1"/>
    <x v="0"/>
    <x v="2"/>
    <x v="1"/>
    <x v="121"/>
    <x v="0"/>
    <x v="0"/>
    <x v="1"/>
    <x v="0"/>
    <x v="1"/>
    <x v="0"/>
    <x v="0"/>
    <x v="121"/>
    <n v="2"/>
    <x v="0"/>
  </r>
  <r>
    <n v="1123"/>
    <n v="16"/>
    <n v="0"/>
    <x v="1"/>
    <x v="2"/>
    <x v="3"/>
    <x v="122"/>
    <x v="27"/>
    <x v="1"/>
    <x v="0"/>
    <x v="0"/>
    <x v="0"/>
    <x v="1"/>
    <x v="0"/>
    <x v="122"/>
    <n v="4"/>
    <x v="2"/>
  </r>
  <r>
    <n v="1124"/>
    <n v="17"/>
    <n v="1"/>
    <x v="0"/>
    <x v="3"/>
    <x v="1"/>
    <x v="123"/>
    <x v="26"/>
    <x v="1"/>
    <x v="2"/>
    <x v="0"/>
    <x v="0"/>
    <x v="1"/>
    <x v="0"/>
    <x v="123"/>
    <n v="1"/>
    <x v="1"/>
  </r>
  <r>
    <n v="1125"/>
    <n v="15"/>
    <n v="0"/>
    <x v="1"/>
    <x v="0"/>
    <x v="0"/>
    <x v="124"/>
    <x v="7"/>
    <x v="0"/>
    <x v="0"/>
    <x v="1"/>
    <x v="0"/>
    <x v="0"/>
    <x v="0"/>
    <x v="124"/>
    <n v="1"/>
    <x v="1"/>
  </r>
  <r>
    <n v="1126"/>
    <n v="18"/>
    <n v="1"/>
    <x v="0"/>
    <x v="0"/>
    <x v="0"/>
    <x v="125"/>
    <x v="3"/>
    <x v="1"/>
    <x v="3"/>
    <x v="1"/>
    <x v="0"/>
    <x v="1"/>
    <x v="0"/>
    <x v="125"/>
    <n v="2"/>
    <x v="0"/>
  </r>
  <r>
    <n v="1127"/>
    <n v="16"/>
    <n v="1"/>
    <x v="0"/>
    <x v="2"/>
    <x v="2"/>
    <x v="126"/>
    <x v="7"/>
    <x v="1"/>
    <x v="2"/>
    <x v="1"/>
    <x v="0"/>
    <x v="1"/>
    <x v="0"/>
    <x v="126"/>
    <n v="0"/>
    <x v="4"/>
  </r>
  <r>
    <n v="1128"/>
    <n v="15"/>
    <n v="0"/>
    <x v="1"/>
    <x v="1"/>
    <x v="0"/>
    <x v="127"/>
    <x v="5"/>
    <x v="0"/>
    <x v="1"/>
    <x v="0"/>
    <x v="1"/>
    <x v="1"/>
    <x v="0"/>
    <x v="127"/>
    <n v="2"/>
    <x v="0"/>
  </r>
  <r>
    <n v="1129"/>
    <n v="18"/>
    <n v="0"/>
    <x v="1"/>
    <x v="2"/>
    <x v="0"/>
    <x v="128"/>
    <x v="19"/>
    <x v="0"/>
    <x v="1"/>
    <x v="1"/>
    <x v="1"/>
    <x v="1"/>
    <x v="0"/>
    <x v="128"/>
    <n v="3"/>
    <x v="3"/>
  </r>
  <r>
    <n v="1130"/>
    <n v="18"/>
    <n v="1"/>
    <x v="0"/>
    <x v="0"/>
    <x v="1"/>
    <x v="129"/>
    <x v="6"/>
    <x v="0"/>
    <x v="2"/>
    <x v="0"/>
    <x v="0"/>
    <x v="1"/>
    <x v="0"/>
    <x v="129"/>
    <n v="4"/>
    <x v="2"/>
  </r>
  <r>
    <n v="1131"/>
    <n v="18"/>
    <n v="1"/>
    <x v="0"/>
    <x v="0"/>
    <x v="1"/>
    <x v="130"/>
    <x v="11"/>
    <x v="1"/>
    <x v="1"/>
    <x v="0"/>
    <x v="0"/>
    <x v="1"/>
    <x v="0"/>
    <x v="130"/>
    <n v="3"/>
    <x v="3"/>
  </r>
  <r>
    <n v="1132"/>
    <n v="15"/>
    <n v="1"/>
    <x v="0"/>
    <x v="0"/>
    <x v="2"/>
    <x v="131"/>
    <x v="14"/>
    <x v="1"/>
    <x v="2"/>
    <x v="0"/>
    <x v="0"/>
    <x v="1"/>
    <x v="0"/>
    <x v="131"/>
    <n v="1"/>
    <x v="1"/>
  </r>
  <r>
    <n v="1133"/>
    <n v="15"/>
    <n v="0"/>
    <x v="1"/>
    <x v="1"/>
    <x v="1"/>
    <x v="132"/>
    <x v="26"/>
    <x v="0"/>
    <x v="0"/>
    <x v="0"/>
    <x v="1"/>
    <x v="1"/>
    <x v="0"/>
    <x v="132"/>
    <n v="0"/>
    <x v="4"/>
  </r>
  <r>
    <n v="1134"/>
    <n v="15"/>
    <n v="1"/>
    <x v="0"/>
    <x v="0"/>
    <x v="1"/>
    <x v="133"/>
    <x v="14"/>
    <x v="1"/>
    <x v="1"/>
    <x v="1"/>
    <x v="0"/>
    <x v="1"/>
    <x v="0"/>
    <x v="133"/>
    <n v="3"/>
    <x v="3"/>
  </r>
  <r>
    <n v="1135"/>
    <n v="17"/>
    <n v="0"/>
    <x v="1"/>
    <x v="0"/>
    <x v="0"/>
    <x v="134"/>
    <x v="17"/>
    <x v="0"/>
    <x v="0"/>
    <x v="1"/>
    <x v="0"/>
    <x v="1"/>
    <x v="0"/>
    <x v="134"/>
    <n v="1"/>
    <x v="1"/>
  </r>
  <r>
    <n v="1136"/>
    <n v="15"/>
    <n v="0"/>
    <x v="1"/>
    <x v="3"/>
    <x v="1"/>
    <x v="135"/>
    <x v="19"/>
    <x v="1"/>
    <x v="0"/>
    <x v="1"/>
    <x v="0"/>
    <x v="1"/>
    <x v="0"/>
    <x v="135"/>
    <n v="3"/>
    <x v="3"/>
  </r>
  <r>
    <n v="1137"/>
    <n v="15"/>
    <n v="1"/>
    <x v="0"/>
    <x v="0"/>
    <x v="3"/>
    <x v="136"/>
    <x v="11"/>
    <x v="1"/>
    <x v="2"/>
    <x v="0"/>
    <x v="1"/>
    <x v="1"/>
    <x v="0"/>
    <x v="136"/>
    <n v="3"/>
    <x v="3"/>
  </r>
  <r>
    <n v="1138"/>
    <n v="15"/>
    <n v="0"/>
    <x v="1"/>
    <x v="3"/>
    <x v="0"/>
    <x v="137"/>
    <x v="27"/>
    <x v="1"/>
    <x v="4"/>
    <x v="1"/>
    <x v="0"/>
    <x v="0"/>
    <x v="1"/>
    <x v="137"/>
    <n v="4"/>
    <x v="2"/>
  </r>
  <r>
    <n v="1139"/>
    <n v="17"/>
    <n v="1"/>
    <x v="0"/>
    <x v="2"/>
    <x v="0"/>
    <x v="138"/>
    <x v="0"/>
    <x v="1"/>
    <x v="2"/>
    <x v="1"/>
    <x v="0"/>
    <x v="1"/>
    <x v="0"/>
    <x v="138"/>
    <n v="2"/>
    <x v="0"/>
  </r>
  <r>
    <n v="1140"/>
    <n v="15"/>
    <n v="1"/>
    <x v="0"/>
    <x v="1"/>
    <x v="2"/>
    <x v="139"/>
    <x v="4"/>
    <x v="0"/>
    <x v="2"/>
    <x v="0"/>
    <x v="0"/>
    <x v="1"/>
    <x v="0"/>
    <x v="139"/>
    <n v="3"/>
    <x v="3"/>
  </r>
  <r>
    <n v="1141"/>
    <n v="18"/>
    <n v="1"/>
    <x v="0"/>
    <x v="0"/>
    <x v="4"/>
    <x v="140"/>
    <x v="14"/>
    <x v="1"/>
    <x v="2"/>
    <x v="1"/>
    <x v="0"/>
    <x v="1"/>
    <x v="0"/>
    <x v="140"/>
    <n v="1"/>
    <x v="1"/>
  </r>
  <r>
    <n v="1142"/>
    <n v="15"/>
    <n v="1"/>
    <x v="0"/>
    <x v="0"/>
    <x v="1"/>
    <x v="141"/>
    <x v="21"/>
    <x v="0"/>
    <x v="4"/>
    <x v="1"/>
    <x v="1"/>
    <x v="1"/>
    <x v="0"/>
    <x v="141"/>
    <n v="4"/>
    <x v="2"/>
  </r>
  <r>
    <n v="1143"/>
    <n v="18"/>
    <n v="1"/>
    <x v="0"/>
    <x v="1"/>
    <x v="0"/>
    <x v="142"/>
    <x v="21"/>
    <x v="0"/>
    <x v="2"/>
    <x v="0"/>
    <x v="0"/>
    <x v="1"/>
    <x v="0"/>
    <x v="142"/>
    <n v="4"/>
    <x v="2"/>
  </r>
  <r>
    <n v="1144"/>
    <n v="18"/>
    <n v="0"/>
    <x v="1"/>
    <x v="1"/>
    <x v="1"/>
    <x v="143"/>
    <x v="12"/>
    <x v="1"/>
    <x v="0"/>
    <x v="1"/>
    <x v="0"/>
    <x v="0"/>
    <x v="0"/>
    <x v="143"/>
    <n v="3"/>
    <x v="3"/>
  </r>
  <r>
    <n v="1145"/>
    <n v="18"/>
    <n v="0"/>
    <x v="1"/>
    <x v="1"/>
    <x v="0"/>
    <x v="144"/>
    <x v="0"/>
    <x v="0"/>
    <x v="0"/>
    <x v="1"/>
    <x v="1"/>
    <x v="1"/>
    <x v="0"/>
    <x v="144"/>
    <n v="3"/>
    <x v="3"/>
  </r>
  <r>
    <n v="1146"/>
    <n v="17"/>
    <n v="1"/>
    <x v="0"/>
    <x v="0"/>
    <x v="2"/>
    <x v="145"/>
    <x v="11"/>
    <x v="1"/>
    <x v="2"/>
    <x v="1"/>
    <x v="0"/>
    <x v="1"/>
    <x v="0"/>
    <x v="145"/>
    <n v="2"/>
    <x v="0"/>
  </r>
  <r>
    <n v="1147"/>
    <n v="17"/>
    <n v="1"/>
    <x v="0"/>
    <x v="1"/>
    <x v="0"/>
    <x v="146"/>
    <x v="7"/>
    <x v="0"/>
    <x v="0"/>
    <x v="1"/>
    <x v="0"/>
    <x v="1"/>
    <x v="1"/>
    <x v="146"/>
    <n v="0"/>
    <x v="4"/>
  </r>
  <r>
    <n v="1148"/>
    <n v="17"/>
    <n v="0"/>
    <x v="1"/>
    <x v="1"/>
    <x v="1"/>
    <x v="147"/>
    <x v="8"/>
    <x v="1"/>
    <x v="2"/>
    <x v="0"/>
    <x v="1"/>
    <x v="1"/>
    <x v="0"/>
    <x v="147"/>
    <n v="3"/>
    <x v="3"/>
  </r>
  <r>
    <n v="1149"/>
    <n v="15"/>
    <n v="0"/>
    <x v="1"/>
    <x v="2"/>
    <x v="3"/>
    <x v="148"/>
    <x v="6"/>
    <x v="1"/>
    <x v="1"/>
    <x v="1"/>
    <x v="1"/>
    <x v="1"/>
    <x v="1"/>
    <x v="148"/>
    <n v="4"/>
    <x v="2"/>
  </r>
  <r>
    <n v="1150"/>
    <n v="18"/>
    <n v="0"/>
    <x v="1"/>
    <x v="1"/>
    <x v="0"/>
    <x v="149"/>
    <x v="17"/>
    <x v="1"/>
    <x v="2"/>
    <x v="1"/>
    <x v="0"/>
    <x v="1"/>
    <x v="0"/>
    <x v="149"/>
    <n v="2"/>
    <x v="0"/>
  </r>
  <r>
    <n v="1151"/>
    <n v="17"/>
    <n v="0"/>
    <x v="1"/>
    <x v="1"/>
    <x v="0"/>
    <x v="150"/>
    <x v="7"/>
    <x v="1"/>
    <x v="1"/>
    <x v="0"/>
    <x v="1"/>
    <x v="0"/>
    <x v="0"/>
    <x v="150"/>
    <n v="2"/>
    <x v="0"/>
  </r>
  <r>
    <n v="1152"/>
    <n v="17"/>
    <n v="1"/>
    <x v="0"/>
    <x v="2"/>
    <x v="1"/>
    <x v="151"/>
    <x v="16"/>
    <x v="0"/>
    <x v="2"/>
    <x v="0"/>
    <x v="1"/>
    <x v="1"/>
    <x v="0"/>
    <x v="151"/>
    <n v="4"/>
    <x v="2"/>
  </r>
  <r>
    <n v="1153"/>
    <n v="15"/>
    <n v="1"/>
    <x v="0"/>
    <x v="0"/>
    <x v="2"/>
    <x v="152"/>
    <x v="6"/>
    <x v="1"/>
    <x v="3"/>
    <x v="1"/>
    <x v="0"/>
    <x v="1"/>
    <x v="1"/>
    <x v="152"/>
    <n v="4"/>
    <x v="2"/>
  </r>
  <r>
    <n v="1154"/>
    <n v="17"/>
    <n v="0"/>
    <x v="1"/>
    <x v="0"/>
    <x v="0"/>
    <x v="153"/>
    <x v="21"/>
    <x v="1"/>
    <x v="0"/>
    <x v="0"/>
    <x v="0"/>
    <x v="1"/>
    <x v="0"/>
    <x v="153"/>
    <n v="4"/>
    <x v="2"/>
  </r>
  <r>
    <n v="1155"/>
    <n v="15"/>
    <n v="1"/>
    <x v="0"/>
    <x v="0"/>
    <x v="0"/>
    <x v="154"/>
    <x v="14"/>
    <x v="1"/>
    <x v="0"/>
    <x v="1"/>
    <x v="0"/>
    <x v="1"/>
    <x v="0"/>
    <x v="154"/>
    <n v="1"/>
    <x v="1"/>
  </r>
  <r>
    <n v="1156"/>
    <n v="16"/>
    <n v="0"/>
    <x v="1"/>
    <x v="0"/>
    <x v="2"/>
    <x v="155"/>
    <x v="12"/>
    <x v="0"/>
    <x v="2"/>
    <x v="1"/>
    <x v="1"/>
    <x v="1"/>
    <x v="0"/>
    <x v="155"/>
    <n v="2"/>
    <x v="0"/>
  </r>
  <r>
    <n v="1157"/>
    <n v="17"/>
    <n v="1"/>
    <x v="0"/>
    <x v="0"/>
    <x v="1"/>
    <x v="156"/>
    <x v="25"/>
    <x v="1"/>
    <x v="4"/>
    <x v="0"/>
    <x v="1"/>
    <x v="0"/>
    <x v="1"/>
    <x v="156"/>
    <n v="4"/>
    <x v="2"/>
  </r>
  <r>
    <n v="1158"/>
    <n v="16"/>
    <n v="0"/>
    <x v="1"/>
    <x v="0"/>
    <x v="0"/>
    <x v="157"/>
    <x v="24"/>
    <x v="1"/>
    <x v="0"/>
    <x v="0"/>
    <x v="0"/>
    <x v="1"/>
    <x v="0"/>
    <x v="157"/>
    <n v="2"/>
    <x v="0"/>
  </r>
  <r>
    <n v="1159"/>
    <n v="15"/>
    <n v="1"/>
    <x v="0"/>
    <x v="0"/>
    <x v="2"/>
    <x v="158"/>
    <x v="25"/>
    <x v="1"/>
    <x v="0"/>
    <x v="0"/>
    <x v="0"/>
    <x v="1"/>
    <x v="0"/>
    <x v="158"/>
    <n v="4"/>
    <x v="2"/>
  </r>
  <r>
    <n v="1160"/>
    <n v="18"/>
    <n v="0"/>
    <x v="1"/>
    <x v="0"/>
    <x v="1"/>
    <x v="159"/>
    <x v="16"/>
    <x v="1"/>
    <x v="2"/>
    <x v="0"/>
    <x v="0"/>
    <x v="1"/>
    <x v="1"/>
    <x v="159"/>
    <n v="4"/>
    <x v="2"/>
  </r>
  <r>
    <n v="1161"/>
    <n v="17"/>
    <n v="0"/>
    <x v="1"/>
    <x v="1"/>
    <x v="0"/>
    <x v="160"/>
    <x v="26"/>
    <x v="0"/>
    <x v="2"/>
    <x v="1"/>
    <x v="0"/>
    <x v="1"/>
    <x v="1"/>
    <x v="160"/>
    <n v="1"/>
    <x v="1"/>
  </r>
  <r>
    <n v="1162"/>
    <n v="15"/>
    <n v="1"/>
    <x v="0"/>
    <x v="3"/>
    <x v="2"/>
    <x v="161"/>
    <x v="6"/>
    <x v="0"/>
    <x v="2"/>
    <x v="0"/>
    <x v="0"/>
    <x v="1"/>
    <x v="0"/>
    <x v="161"/>
    <n v="4"/>
    <x v="2"/>
  </r>
  <r>
    <n v="1163"/>
    <n v="18"/>
    <n v="0"/>
    <x v="1"/>
    <x v="0"/>
    <x v="0"/>
    <x v="162"/>
    <x v="1"/>
    <x v="0"/>
    <x v="2"/>
    <x v="0"/>
    <x v="0"/>
    <x v="0"/>
    <x v="1"/>
    <x v="162"/>
    <n v="0"/>
    <x v="4"/>
  </r>
  <r>
    <n v="1164"/>
    <n v="18"/>
    <n v="1"/>
    <x v="0"/>
    <x v="3"/>
    <x v="0"/>
    <x v="163"/>
    <x v="0"/>
    <x v="1"/>
    <x v="2"/>
    <x v="1"/>
    <x v="0"/>
    <x v="1"/>
    <x v="0"/>
    <x v="163"/>
    <n v="2"/>
    <x v="0"/>
  </r>
  <r>
    <n v="1165"/>
    <n v="16"/>
    <n v="1"/>
    <x v="0"/>
    <x v="2"/>
    <x v="2"/>
    <x v="164"/>
    <x v="8"/>
    <x v="0"/>
    <x v="0"/>
    <x v="1"/>
    <x v="0"/>
    <x v="1"/>
    <x v="0"/>
    <x v="164"/>
    <n v="3"/>
    <x v="3"/>
  </r>
  <r>
    <n v="1166"/>
    <n v="15"/>
    <n v="0"/>
    <x v="1"/>
    <x v="0"/>
    <x v="2"/>
    <x v="165"/>
    <x v="23"/>
    <x v="1"/>
    <x v="0"/>
    <x v="0"/>
    <x v="1"/>
    <x v="1"/>
    <x v="0"/>
    <x v="165"/>
    <n v="4"/>
    <x v="2"/>
  </r>
  <r>
    <n v="1167"/>
    <n v="18"/>
    <n v="1"/>
    <x v="0"/>
    <x v="0"/>
    <x v="1"/>
    <x v="166"/>
    <x v="9"/>
    <x v="0"/>
    <x v="0"/>
    <x v="1"/>
    <x v="1"/>
    <x v="1"/>
    <x v="0"/>
    <x v="166"/>
    <n v="2"/>
    <x v="0"/>
  </r>
  <r>
    <n v="1168"/>
    <n v="17"/>
    <n v="1"/>
    <x v="0"/>
    <x v="2"/>
    <x v="4"/>
    <x v="167"/>
    <x v="11"/>
    <x v="1"/>
    <x v="3"/>
    <x v="0"/>
    <x v="1"/>
    <x v="1"/>
    <x v="0"/>
    <x v="167"/>
    <n v="3"/>
    <x v="3"/>
  </r>
  <r>
    <n v="1169"/>
    <n v="17"/>
    <n v="1"/>
    <x v="0"/>
    <x v="1"/>
    <x v="0"/>
    <x v="168"/>
    <x v="3"/>
    <x v="1"/>
    <x v="2"/>
    <x v="1"/>
    <x v="0"/>
    <x v="1"/>
    <x v="0"/>
    <x v="168"/>
    <n v="3"/>
    <x v="3"/>
  </r>
  <r>
    <n v="1170"/>
    <n v="16"/>
    <n v="1"/>
    <x v="0"/>
    <x v="1"/>
    <x v="0"/>
    <x v="169"/>
    <x v="16"/>
    <x v="1"/>
    <x v="0"/>
    <x v="0"/>
    <x v="1"/>
    <x v="1"/>
    <x v="0"/>
    <x v="169"/>
    <n v="4"/>
    <x v="2"/>
  </r>
  <r>
    <n v="1171"/>
    <n v="18"/>
    <n v="1"/>
    <x v="0"/>
    <x v="0"/>
    <x v="0"/>
    <x v="170"/>
    <x v="21"/>
    <x v="1"/>
    <x v="2"/>
    <x v="0"/>
    <x v="1"/>
    <x v="1"/>
    <x v="0"/>
    <x v="170"/>
    <n v="4"/>
    <x v="2"/>
  </r>
  <r>
    <n v="1172"/>
    <n v="15"/>
    <n v="0"/>
    <x v="1"/>
    <x v="0"/>
    <x v="0"/>
    <x v="171"/>
    <x v="15"/>
    <x v="1"/>
    <x v="0"/>
    <x v="1"/>
    <x v="0"/>
    <x v="1"/>
    <x v="1"/>
    <x v="171"/>
    <n v="4"/>
    <x v="2"/>
  </r>
  <r>
    <n v="1173"/>
    <n v="17"/>
    <n v="1"/>
    <x v="0"/>
    <x v="0"/>
    <x v="1"/>
    <x v="172"/>
    <x v="3"/>
    <x v="0"/>
    <x v="2"/>
    <x v="0"/>
    <x v="0"/>
    <x v="1"/>
    <x v="0"/>
    <x v="172"/>
    <n v="3"/>
    <x v="3"/>
  </r>
  <r>
    <n v="1174"/>
    <n v="18"/>
    <n v="1"/>
    <x v="0"/>
    <x v="0"/>
    <x v="0"/>
    <x v="173"/>
    <x v="11"/>
    <x v="1"/>
    <x v="0"/>
    <x v="0"/>
    <x v="1"/>
    <x v="1"/>
    <x v="0"/>
    <x v="173"/>
    <n v="2"/>
    <x v="0"/>
  </r>
  <r>
    <n v="1175"/>
    <n v="18"/>
    <n v="1"/>
    <x v="0"/>
    <x v="0"/>
    <x v="1"/>
    <x v="174"/>
    <x v="16"/>
    <x v="0"/>
    <x v="1"/>
    <x v="1"/>
    <x v="0"/>
    <x v="1"/>
    <x v="0"/>
    <x v="174"/>
    <n v="4"/>
    <x v="2"/>
  </r>
  <r>
    <n v="1176"/>
    <n v="16"/>
    <n v="1"/>
    <x v="0"/>
    <x v="0"/>
    <x v="0"/>
    <x v="175"/>
    <x v="20"/>
    <x v="1"/>
    <x v="2"/>
    <x v="1"/>
    <x v="0"/>
    <x v="1"/>
    <x v="0"/>
    <x v="175"/>
    <n v="4"/>
    <x v="2"/>
  </r>
  <r>
    <n v="1177"/>
    <n v="17"/>
    <n v="1"/>
    <x v="0"/>
    <x v="1"/>
    <x v="0"/>
    <x v="176"/>
    <x v="24"/>
    <x v="1"/>
    <x v="2"/>
    <x v="0"/>
    <x v="0"/>
    <x v="1"/>
    <x v="0"/>
    <x v="176"/>
    <n v="2"/>
    <x v="0"/>
  </r>
  <r>
    <n v="1178"/>
    <n v="17"/>
    <n v="0"/>
    <x v="1"/>
    <x v="3"/>
    <x v="1"/>
    <x v="177"/>
    <x v="15"/>
    <x v="0"/>
    <x v="0"/>
    <x v="1"/>
    <x v="0"/>
    <x v="0"/>
    <x v="0"/>
    <x v="177"/>
    <n v="4"/>
    <x v="2"/>
  </r>
  <r>
    <n v="1179"/>
    <n v="15"/>
    <n v="1"/>
    <x v="0"/>
    <x v="0"/>
    <x v="1"/>
    <x v="178"/>
    <x v="14"/>
    <x v="1"/>
    <x v="0"/>
    <x v="1"/>
    <x v="0"/>
    <x v="1"/>
    <x v="0"/>
    <x v="178"/>
    <n v="2"/>
    <x v="0"/>
  </r>
  <r>
    <n v="1180"/>
    <n v="17"/>
    <n v="0"/>
    <x v="1"/>
    <x v="3"/>
    <x v="0"/>
    <x v="179"/>
    <x v="7"/>
    <x v="1"/>
    <x v="2"/>
    <x v="1"/>
    <x v="0"/>
    <x v="1"/>
    <x v="1"/>
    <x v="179"/>
    <n v="1"/>
    <x v="1"/>
  </r>
  <r>
    <n v="1181"/>
    <n v="15"/>
    <n v="0"/>
    <x v="1"/>
    <x v="0"/>
    <x v="0"/>
    <x v="180"/>
    <x v="17"/>
    <x v="0"/>
    <x v="2"/>
    <x v="0"/>
    <x v="0"/>
    <x v="1"/>
    <x v="0"/>
    <x v="180"/>
    <n v="1"/>
    <x v="1"/>
  </r>
  <r>
    <n v="1182"/>
    <n v="17"/>
    <n v="0"/>
    <x v="1"/>
    <x v="0"/>
    <x v="1"/>
    <x v="181"/>
    <x v="16"/>
    <x v="1"/>
    <x v="2"/>
    <x v="1"/>
    <x v="0"/>
    <x v="1"/>
    <x v="0"/>
    <x v="181"/>
    <n v="4"/>
    <x v="2"/>
  </r>
  <r>
    <n v="1183"/>
    <n v="16"/>
    <n v="0"/>
    <x v="1"/>
    <x v="0"/>
    <x v="3"/>
    <x v="182"/>
    <x v="18"/>
    <x v="1"/>
    <x v="0"/>
    <x v="1"/>
    <x v="1"/>
    <x v="1"/>
    <x v="0"/>
    <x v="182"/>
    <n v="3"/>
    <x v="3"/>
  </r>
  <r>
    <n v="1184"/>
    <n v="17"/>
    <n v="1"/>
    <x v="0"/>
    <x v="2"/>
    <x v="0"/>
    <x v="183"/>
    <x v="11"/>
    <x v="0"/>
    <x v="3"/>
    <x v="1"/>
    <x v="1"/>
    <x v="1"/>
    <x v="0"/>
    <x v="183"/>
    <n v="1"/>
    <x v="1"/>
  </r>
  <r>
    <n v="1185"/>
    <n v="15"/>
    <n v="0"/>
    <x v="1"/>
    <x v="3"/>
    <x v="3"/>
    <x v="184"/>
    <x v="22"/>
    <x v="1"/>
    <x v="2"/>
    <x v="0"/>
    <x v="0"/>
    <x v="1"/>
    <x v="0"/>
    <x v="184"/>
    <n v="2"/>
    <x v="0"/>
  </r>
  <r>
    <n v="1186"/>
    <n v="15"/>
    <n v="0"/>
    <x v="1"/>
    <x v="2"/>
    <x v="0"/>
    <x v="185"/>
    <x v="2"/>
    <x v="0"/>
    <x v="2"/>
    <x v="1"/>
    <x v="0"/>
    <x v="1"/>
    <x v="0"/>
    <x v="185"/>
    <n v="4"/>
    <x v="2"/>
  </r>
  <r>
    <n v="1187"/>
    <n v="16"/>
    <n v="1"/>
    <x v="0"/>
    <x v="0"/>
    <x v="0"/>
    <x v="186"/>
    <x v="14"/>
    <x v="1"/>
    <x v="2"/>
    <x v="0"/>
    <x v="0"/>
    <x v="1"/>
    <x v="0"/>
    <x v="186"/>
    <n v="2"/>
    <x v="0"/>
  </r>
  <r>
    <n v="1188"/>
    <n v="17"/>
    <n v="1"/>
    <x v="0"/>
    <x v="2"/>
    <x v="2"/>
    <x v="187"/>
    <x v="18"/>
    <x v="1"/>
    <x v="1"/>
    <x v="1"/>
    <x v="0"/>
    <x v="1"/>
    <x v="0"/>
    <x v="187"/>
    <n v="2"/>
    <x v="0"/>
  </r>
  <r>
    <n v="1189"/>
    <n v="17"/>
    <n v="1"/>
    <x v="0"/>
    <x v="0"/>
    <x v="0"/>
    <x v="188"/>
    <x v="21"/>
    <x v="1"/>
    <x v="4"/>
    <x v="1"/>
    <x v="1"/>
    <x v="1"/>
    <x v="0"/>
    <x v="188"/>
    <n v="4"/>
    <x v="2"/>
  </r>
  <r>
    <n v="1190"/>
    <n v="16"/>
    <n v="0"/>
    <x v="1"/>
    <x v="1"/>
    <x v="0"/>
    <x v="189"/>
    <x v="10"/>
    <x v="0"/>
    <x v="2"/>
    <x v="0"/>
    <x v="0"/>
    <x v="1"/>
    <x v="0"/>
    <x v="189"/>
    <n v="4"/>
    <x v="2"/>
  </r>
  <r>
    <n v="1191"/>
    <n v="17"/>
    <n v="1"/>
    <x v="0"/>
    <x v="2"/>
    <x v="1"/>
    <x v="190"/>
    <x v="12"/>
    <x v="1"/>
    <x v="0"/>
    <x v="0"/>
    <x v="0"/>
    <x v="1"/>
    <x v="1"/>
    <x v="190"/>
    <n v="4"/>
    <x v="2"/>
  </r>
  <r>
    <n v="1192"/>
    <n v="17"/>
    <n v="1"/>
    <x v="0"/>
    <x v="0"/>
    <x v="0"/>
    <x v="191"/>
    <x v="23"/>
    <x v="0"/>
    <x v="2"/>
    <x v="0"/>
    <x v="0"/>
    <x v="1"/>
    <x v="0"/>
    <x v="191"/>
    <n v="3"/>
    <x v="3"/>
  </r>
  <r>
    <n v="1193"/>
    <n v="15"/>
    <n v="0"/>
    <x v="1"/>
    <x v="2"/>
    <x v="1"/>
    <x v="192"/>
    <x v="11"/>
    <x v="1"/>
    <x v="0"/>
    <x v="1"/>
    <x v="0"/>
    <x v="1"/>
    <x v="0"/>
    <x v="192"/>
    <n v="3"/>
    <x v="3"/>
  </r>
  <r>
    <n v="1194"/>
    <n v="17"/>
    <n v="1"/>
    <x v="0"/>
    <x v="2"/>
    <x v="1"/>
    <x v="193"/>
    <x v="19"/>
    <x v="1"/>
    <x v="0"/>
    <x v="0"/>
    <x v="0"/>
    <x v="1"/>
    <x v="0"/>
    <x v="193"/>
    <n v="3"/>
    <x v="3"/>
  </r>
  <r>
    <n v="1195"/>
    <n v="17"/>
    <n v="1"/>
    <x v="0"/>
    <x v="0"/>
    <x v="4"/>
    <x v="194"/>
    <x v="8"/>
    <x v="0"/>
    <x v="1"/>
    <x v="1"/>
    <x v="0"/>
    <x v="0"/>
    <x v="0"/>
    <x v="194"/>
    <n v="2"/>
    <x v="0"/>
  </r>
  <r>
    <n v="1196"/>
    <n v="16"/>
    <n v="1"/>
    <x v="0"/>
    <x v="2"/>
    <x v="4"/>
    <x v="195"/>
    <x v="2"/>
    <x v="1"/>
    <x v="2"/>
    <x v="1"/>
    <x v="1"/>
    <x v="1"/>
    <x v="0"/>
    <x v="195"/>
    <n v="4"/>
    <x v="2"/>
  </r>
  <r>
    <n v="1197"/>
    <n v="16"/>
    <n v="1"/>
    <x v="0"/>
    <x v="0"/>
    <x v="3"/>
    <x v="196"/>
    <x v="1"/>
    <x v="1"/>
    <x v="1"/>
    <x v="1"/>
    <x v="0"/>
    <x v="1"/>
    <x v="1"/>
    <x v="196"/>
    <n v="1"/>
    <x v="1"/>
  </r>
  <r>
    <n v="1198"/>
    <n v="18"/>
    <n v="0"/>
    <x v="1"/>
    <x v="1"/>
    <x v="1"/>
    <x v="197"/>
    <x v="20"/>
    <x v="1"/>
    <x v="2"/>
    <x v="1"/>
    <x v="0"/>
    <x v="0"/>
    <x v="0"/>
    <x v="197"/>
    <n v="4"/>
    <x v="2"/>
  </r>
  <r>
    <n v="1199"/>
    <n v="15"/>
    <n v="1"/>
    <x v="0"/>
    <x v="1"/>
    <x v="0"/>
    <x v="198"/>
    <x v="10"/>
    <x v="1"/>
    <x v="0"/>
    <x v="0"/>
    <x v="0"/>
    <x v="1"/>
    <x v="0"/>
    <x v="198"/>
    <n v="4"/>
    <x v="2"/>
  </r>
  <r>
    <n v="1200"/>
    <n v="17"/>
    <n v="1"/>
    <x v="0"/>
    <x v="1"/>
    <x v="2"/>
    <x v="199"/>
    <x v="25"/>
    <x v="1"/>
    <x v="2"/>
    <x v="1"/>
    <x v="0"/>
    <x v="1"/>
    <x v="0"/>
    <x v="199"/>
    <n v="4"/>
    <x v="2"/>
  </r>
  <r>
    <n v="1201"/>
    <n v="17"/>
    <n v="0"/>
    <x v="1"/>
    <x v="2"/>
    <x v="0"/>
    <x v="200"/>
    <x v="27"/>
    <x v="1"/>
    <x v="1"/>
    <x v="0"/>
    <x v="0"/>
    <x v="0"/>
    <x v="0"/>
    <x v="200"/>
    <n v="4"/>
    <x v="2"/>
  </r>
  <r>
    <n v="1202"/>
    <n v="18"/>
    <n v="1"/>
    <x v="0"/>
    <x v="2"/>
    <x v="1"/>
    <x v="201"/>
    <x v="27"/>
    <x v="1"/>
    <x v="1"/>
    <x v="0"/>
    <x v="0"/>
    <x v="1"/>
    <x v="0"/>
    <x v="201"/>
    <n v="4"/>
    <x v="2"/>
  </r>
  <r>
    <n v="1203"/>
    <n v="17"/>
    <n v="0"/>
    <x v="1"/>
    <x v="0"/>
    <x v="0"/>
    <x v="202"/>
    <x v="17"/>
    <x v="1"/>
    <x v="2"/>
    <x v="0"/>
    <x v="1"/>
    <x v="1"/>
    <x v="1"/>
    <x v="202"/>
    <n v="2"/>
    <x v="0"/>
  </r>
  <r>
    <n v="1204"/>
    <n v="15"/>
    <n v="1"/>
    <x v="0"/>
    <x v="1"/>
    <x v="0"/>
    <x v="203"/>
    <x v="19"/>
    <x v="1"/>
    <x v="0"/>
    <x v="1"/>
    <x v="0"/>
    <x v="1"/>
    <x v="0"/>
    <x v="203"/>
    <n v="3"/>
    <x v="3"/>
  </r>
  <r>
    <n v="1205"/>
    <n v="18"/>
    <n v="0"/>
    <x v="1"/>
    <x v="0"/>
    <x v="0"/>
    <x v="204"/>
    <x v="27"/>
    <x v="1"/>
    <x v="1"/>
    <x v="1"/>
    <x v="0"/>
    <x v="1"/>
    <x v="0"/>
    <x v="204"/>
    <n v="4"/>
    <x v="2"/>
  </r>
  <r>
    <n v="1206"/>
    <n v="15"/>
    <n v="0"/>
    <x v="1"/>
    <x v="0"/>
    <x v="0"/>
    <x v="205"/>
    <x v="19"/>
    <x v="0"/>
    <x v="3"/>
    <x v="0"/>
    <x v="0"/>
    <x v="1"/>
    <x v="0"/>
    <x v="205"/>
    <n v="3"/>
    <x v="3"/>
  </r>
  <r>
    <n v="1207"/>
    <n v="18"/>
    <n v="0"/>
    <x v="1"/>
    <x v="0"/>
    <x v="3"/>
    <x v="206"/>
    <x v="2"/>
    <x v="0"/>
    <x v="1"/>
    <x v="1"/>
    <x v="0"/>
    <x v="1"/>
    <x v="0"/>
    <x v="206"/>
    <n v="4"/>
    <x v="2"/>
  </r>
  <r>
    <n v="1208"/>
    <n v="18"/>
    <n v="0"/>
    <x v="1"/>
    <x v="0"/>
    <x v="0"/>
    <x v="207"/>
    <x v="15"/>
    <x v="1"/>
    <x v="0"/>
    <x v="1"/>
    <x v="0"/>
    <x v="1"/>
    <x v="0"/>
    <x v="207"/>
    <n v="4"/>
    <x v="2"/>
  </r>
  <r>
    <n v="1209"/>
    <n v="16"/>
    <n v="1"/>
    <x v="0"/>
    <x v="2"/>
    <x v="1"/>
    <x v="208"/>
    <x v="10"/>
    <x v="1"/>
    <x v="1"/>
    <x v="0"/>
    <x v="0"/>
    <x v="1"/>
    <x v="0"/>
    <x v="208"/>
    <n v="4"/>
    <x v="2"/>
  </r>
  <r>
    <n v="1210"/>
    <n v="15"/>
    <n v="0"/>
    <x v="1"/>
    <x v="0"/>
    <x v="0"/>
    <x v="209"/>
    <x v="16"/>
    <x v="0"/>
    <x v="0"/>
    <x v="1"/>
    <x v="0"/>
    <x v="0"/>
    <x v="1"/>
    <x v="209"/>
    <n v="4"/>
    <x v="2"/>
  </r>
  <r>
    <n v="1211"/>
    <n v="17"/>
    <n v="1"/>
    <x v="0"/>
    <x v="1"/>
    <x v="4"/>
    <x v="210"/>
    <x v="22"/>
    <x v="1"/>
    <x v="0"/>
    <x v="0"/>
    <x v="0"/>
    <x v="0"/>
    <x v="0"/>
    <x v="210"/>
    <n v="2"/>
    <x v="0"/>
  </r>
  <r>
    <n v="1212"/>
    <n v="17"/>
    <n v="0"/>
    <x v="1"/>
    <x v="0"/>
    <x v="2"/>
    <x v="211"/>
    <x v="21"/>
    <x v="1"/>
    <x v="1"/>
    <x v="0"/>
    <x v="0"/>
    <x v="0"/>
    <x v="1"/>
    <x v="211"/>
    <n v="4"/>
    <x v="2"/>
  </r>
  <r>
    <n v="1213"/>
    <n v="15"/>
    <n v="0"/>
    <x v="1"/>
    <x v="0"/>
    <x v="1"/>
    <x v="212"/>
    <x v="7"/>
    <x v="1"/>
    <x v="2"/>
    <x v="1"/>
    <x v="0"/>
    <x v="1"/>
    <x v="0"/>
    <x v="212"/>
    <n v="1"/>
    <x v="1"/>
  </r>
  <r>
    <n v="1214"/>
    <n v="17"/>
    <n v="0"/>
    <x v="1"/>
    <x v="2"/>
    <x v="1"/>
    <x v="213"/>
    <x v="3"/>
    <x v="0"/>
    <x v="0"/>
    <x v="0"/>
    <x v="0"/>
    <x v="1"/>
    <x v="0"/>
    <x v="213"/>
    <n v="4"/>
    <x v="2"/>
  </r>
  <r>
    <n v="1215"/>
    <n v="17"/>
    <n v="1"/>
    <x v="0"/>
    <x v="0"/>
    <x v="2"/>
    <x v="214"/>
    <x v="8"/>
    <x v="1"/>
    <x v="2"/>
    <x v="0"/>
    <x v="0"/>
    <x v="1"/>
    <x v="0"/>
    <x v="214"/>
    <n v="3"/>
    <x v="3"/>
  </r>
  <r>
    <n v="1216"/>
    <n v="15"/>
    <n v="0"/>
    <x v="1"/>
    <x v="0"/>
    <x v="0"/>
    <x v="215"/>
    <x v="13"/>
    <x v="0"/>
    <x v="1"/>
    <x v="1"/>
    <x v="0"/>
    <x v="1"/>
    <x v="0"/>
    <x v="215"/>
    <n v="4"/>
    <x v="2"/>
  </r>
  <r>
    <n v="1217"/>
    <n v="18"/>
    <n v="1"/>
    <x v="0"/>
    <x v="1"/>
    <x v="1"/>
    <x v="216"/>
    <x v="2"/>
    <x v="0"/>
    <x v="0"/>
    <x v="1"/>
    <x v="0"/>
    <x v="1"/>
    <x v="0"/>
    <x v="216"/>
    <n v="4"/>
    <x v="2"/>
  </r>
  <r>
    <n v="1218"/>
    <n v="15"/>
    <n v="1"/>
    <x v="0"/>
    <x v="0"/>
    <x v="0"/>
    <x v="217"/>
    <x v="24"/>
    <x v="1"/>
    <x v="4"/>
    <x v="1"/>
    <x v="0"/>
    <x v="0"/>
    <x v="0"/>
    <x v="217"/>
    <n v="2"/>
    <x v="0"/>
  </r>
  <r>
    <n v="1219"/>
    <n v="18"/>
    <n v="1"/>
    <x v="0"/>
    <x v="1"/>
    <x v="2"/>
    <x v="218"/>
    <x v="28"/>
    <x v="0"/>
    <x v="2"/>
    <x v="0"/>
    <x v="0"/>
    <x v="1"/>
    <x v="0"/>
    <x v="218"/>
    <n v="4"/>
    <x v="2"/>
  </r>
  <r>
    <n v="1220"/>
    <n v="17"/>
    <n v="1"/>
    <x v="0"/>
    <x v="0"/>
    <x v="1"/>
    <x v="219"/>
    <x v="4"/>
    <x v="1"/>
    <x v="2"/>
    <x v="0"/>
    <x v="0"/>
    <x v="1"/>
    <x v="0"/>
    <x v="219"/>
    <n v="4"/>
    <x v="2"/>
  </r>
  <r>
    <n v="1221"/>
    <n v="17"/>
    <n v="1"/>
    <x v="0"/>
    <x v="0"/>
    <x v="2"/>
    <x v="220"/>
    <x v="6"/>
    <x v="1"/>
    <x v="2"/>
    <x v="1"/>
    <x v="1"/>
    <x v="1"/>
    <x v="1"/>
    <x v="220"/>
    <n v="4"/>
    <x v="2"/>
  </r>
  <r>
    <n v="1222"/>
    <n v="17"/>
    <n v="1"/>
    <x v="0"/>
    <x v="1"/>
    <x v="4"/>
    <x v="221"/>
    <x v="19"/>
    <x v="1"/>
    <x v="0"/>
    <x v="0"/>
    <x v="1"/>
    <x v="1"/>
    <x v="1"/>
    <x v="221"/>
    <n v="3"/>
    <x v="3"/>
  </r>
  <r>
    <n v="1223"/>
    <n v="16"/>
    <n v="1"/>
    <x v="0"/>
    <x v="0"/>
    <x v="0"/>
    <x v="222"/>
    <x v="12"/>
    <x v="1"/>
    <x v="2"/>
    <x v="0"/>
    <x v="0"/>
    <x v="0"/>
    <x v="0"/>
    <x v="222"/>
    <n v="4"/>
    <x v="2"/>
  </r>
  <r>
    <n v="1224"/>
    <n v="18"/>
    <n v="1"/>
    <x v="0"/>
    <x v="0"/>
    <x v="2"/>
    <x v="223"/>
    <x v="22"/>
    <x v="1"/>
    <x v="2"/>
    <x v="0"/>
    <x v="0"/>
    <x v="1"/>
    <x v="0"/>
    <x v="223"/>
    <n v="2"/>
    <x v="0"/>
  </r>
  <r>
    <n v="1225"/>
    <n v="16"/>
    <n v="1"/>
    <x v="0"/>
    <x v="0"/>
    <x v="1"/>
    <x v="224"/>
    <x v="29"/>
    <x v="1"/>
    <x v="4"/>
    <x v="1"/>
    <x v="0"/>
    <x v="1"/>
    <x v="0"/>
    <x v="224"/>
    <n v="4"/>
    <x v="2"/>
  </r>
  <r>
    <n v="1226"/>
    <n v="16"/>
    <n v="0"/>
    <x v="1"/>
    <x v="0"/>
    <x v="0"/>
    <x v="225"/>
    <x v="23"/>
    <x v="1"/>
    <x v="1"/>
    <x v="0"/>
    <x v="0"/>
    <x v="0"/>
    <x v="0"/>
    <x v="225"/>
    <n v="4"/>
    <x v="2"/>
  </r>
  <r>
    <n v="1227"/>
    <n v="15"/>
    <n v="0"/>
    <x v="1"/>
    <x v="1"/>
    <x v="1"/>
    <x v="226"/>
    <x v="28"/>
    <x v="1"/>
    <x v="0"/>
    <x v="0"/>
    <x v="0"/>
    <x v="1"/>
    <x v="0"/>
    <x v="226"/>
    <n v="4"/>
    <x v="2"/>
  </r>
  <r>
    <n v="1228"/>
    <n v="16"/>
    <n v="0"/>
    <x v="1"/>
    <x v="0"/>
    <x v="0"/>
    <x v="227"/>
    <x v="20"/>
    <x v="1"/>
    <x v="2"/>
    <x v="0"/>
    <x v="1"/>
    <x v="1"/>
    <x v="0"/>
    <x v="227"/>
    <n v="4"/>
    <x v="2"/>
  </r>
  <r>
    <n v="1229"/>
    <n v="15"/>
    <n v="0"/>
    <x v="1"/>
    <x v="1"/>
    <x v="0"/>
    <x v="228"/>
    <x v="19"/>
    <x v="0"/>
    <x v="4"/>
    <x v="0"/>
    <x v="0"/>
    <x v="1"/>
    <x v="0"/>
    <x v="228"/>
    <n v="4"/>
    <x v="2"/>
  </r>
  <r>
    <n v="1230"/>
    <n v="15"/>
    <n v="0"/>
    <x v="1"/>
    <x v="1"/>
    <x v="0"/>
    <x v="229"/>
    <x v="14"/>
    <x v="1"/>
    <x v="2"/>
    <x v="0"/>
    <x v="1"/>
    <x v="1"/>
    <x v="0"/>
    <x v="229"/>
    <n v="1"/>
    <x v="1"/>
  </r>
  <r>
    <n v="1231"/>
    <n v="16"/>
    <n v="1"/>
    <x v="0"/>
    <x v="0"/>
    <x v="1"/>
    <x v="230"/>
    <x v="15"/>
    <x v="1"/>
    <x v="0"/>
    <x v="0"/>
    <x v="0"/>
    <x v="1"/>
    <x v="0"/>
    <x v="230"/>
    <n v="4"/>
    <x v="2"/>
  </r>
  <r>
    <n v="1232"/>
    <n v="18"/>
    <n v="1"/>
    <x v="0"/>
    <x v="3"/>
    <x v="1"/>
    <x v="231"/>
    <x v="15"/>
    <x v="1"/>
    <x v="0"/>
    <x v="0"/>
    <x v="0"/>
    <x v="1"/>
    <x v="0"/>
    <x v="231"/>
    <n v="4"/>
    <x v="2"/>
  </r>
  <r>
    <n v="1233"/>
    <n v="18"/>
    <n v="1"/>
    <x v="0"/>
    <x v="0"/>
    <x v="4"/>
    <x v="232"/>
    <x v="4"/>
    <x v="1"/>
    <x v="1"/>
    <x v="0"/>
    <x v="1"/>
    <x v="1"/>
    <x v="1"/>
    <x v="232"/>
    <n v="4"/>
    <x v="2"/>
  </r>
  <r>
    <n v="1234"/>
    <n v="18"/>
    <n v="1"/>
    <x v="0"/>
    <x v="3"/>
    <x v="1"/>
    <x v="233"/>
    <x v="23"/>
    <x v="1"/>
    <x v="0"/>
    <x v="0"/>
    <x v="1"/>
    <x v="1"/>
    <x v="1"/>
    <x v="233"/>
    <n v="4"/>
    <x v="2"/>
  </r>
  <r>
    <n v="1235"/>
    <n v="18"/>
    <n v="1"/>
    <x v="0"/>
    <x v="0"/>
    <x v="0"/>
    <x v="234"/>
    <x v="3"/>
    <x v="1"/>
    <x v="4"/>
    <x v="0"/>
    <x v="1"/>
    <x v="1"/>
    <x v="0"/>
    <x v="234"/>
    <n v="4"/>
    <x v="2"/>
  </r>
  <r>
    <n v="1236"/>
    <n v="18"/>
    <n v="1"/>
    <x v="0"/>
    <x v="2"/>
    <x v="2"/>
    <x v="235"/>
    <x v="14"/>
    <x v="1"/>
    <x v="4"/>
    <x v="0"/>
    <x v="1"/>
    <x v="1"/>
    <x v="0"/>
    <x v="235"/>
    <n v="2"/>
    <x v="0"/>
  </r>
  <r>
    <n v="1237"/>
    <n v="16"/>
    <n v="1"/>
    <x v="0"/>
    <x v="0"/>
    <x v="0"/>
    <x v="236"/>
    <x v="1"/>
    <x v="1"/>
    <x v="2"/>
    <x v="0"/>
    <x v="0"/>
    <x v="0"/>
    <x v="0"/>
    <x v="236"/>
    <n v="2"/>
    <x v="0"/>
  </r>
  <r>
    <n v="1238"/>
    <n v="16"/>
    <n v="0"/>
    <x v="1"/>
    <x v="0"/>
    <x v="0"/>
    <x v="237"/>
    <x v="15"/>
    <x v="0"/>
    <x v="0"/>
    <x v="0"/>
    <x v="0"/>
    <x v="0"/>
    <x v="0"/>
    <x v="237"/>
    <n v="4"/>
    <x v="2"/>
  </r>
  <r>
    <n v="1239"/>
    <n v="17"/>
    <n v="0"/>
    <x v="1"/>
    <x v="2"/>
    <x v="3"/>
    <x v="238"/>
    <x v="21"/>
    <x v="0"/>
    <x v="0"/>
    <x v="0"/>
    <x v="0"/>
    <x v="1"/>
    <x v="0"/>
    <x v="238"/>
    <n v="4"/>
    <x v="2"/>
  </r>
  <r>
    <n v="1240"/>
    <n v="18"/>
    <n v="0"/>
    <x v="1"/>
    <x v="1"/>
    <x v="0"/>
    <x v="239"/>
    <x v="12"/>
    <x v="1"/>
    <x v="1"/>
    <x v="1"/>
    <x v="0"/>
    <x v="0"/>
    <x v="0"/>
    <x v="239"/>
    <n v="4"/>
    <x v="2"/>
  </r>
  <r>
    <n v="1241"/>
    <n v="16"/>
    <n v="0"/>
    <x v="1"/>
    <x v="0"/>
    <x v="2"/>
    <x v="240"/>
    <x v="14"/>
    <x v="0"/>
    <x v="0"/>
    <x v="0"/>
    <x v="1"/>
    <x v="1"/>
    <x v="0"/>
    <x v="240"/>
    <n v="1"/>
    <x v="1"/>
  </r>
  <r>
    <n v="1242"/>
    <n v="17"/>
    <n v="1"/>
    <x v="0"/>
    <x v="0"/>
    <x v="0"/>
    <x v="241"/>
    <x v="23"/>
    <x v="1"/>
    <x v="4"/>
    <x v="1"/>
    <x v="1"/>
    <x v="1"/>
    <x v="0"/>
    <x v="241"/>
    <n v="4"/>
    <x v="2"/>
  </r>
  <r>
    <n v="1243"/>
    <n v="18"/>
    <n v="1"/>
    <x v="0"/>
    <x v="1"/>
    <x v="1"/>
    <x v="242"/>
    <x v="14"/>
    <x v="1"/>
    <x v="0"/>
    <x v="0"/>
    <x v="1"/>
    <x v="1"/>
    <x v="0"/>
    <x v="242"/>
    <n v="2"/>
    <x v="0"/>
  </r>
  <r>
    <n v="1244"/>
    <n v="15"/>
    <n v="1"/>
    <x v="0"/>
    <x v="2"/>
    <x v="4"/>
    <x v="243"/>
    <x v="19"/>
    <x v="0"/>
    <x v="0"/>
    <x v="0"/>
    <x v="0"/>
    <x v="1"/>
    <x v="0"/>
    <x v="243"/>
    <n v="3"/>
    <x v="3"/>
  </r>
  <r>
    <n v="1245"/>
    <n v="17"/>
    <n v="0"/>
    <x v="1"/>
    <x v="3"/>
    <x v="0"/>
    <x v="244"/>
    <x v="3"/>
    <x v="1"/>
    <x v="0"/>
    <x v="1"/>
    <x v="0"/>
    <x v="1"/>
    <x v="0"/>
    <x v="244"/>
    <n v="4"/>
    <x v="2"/>
  </r>
  <r>
    <n v="1246"/>
    <n v="16"/>
    <n v="1"/>
    <x v="0"/>
    <x v="1"/>
    <x v="1"/>
    <x v="245"/>
    <x v="4"/>
    <x v="1"/>
    <x v="3"/>
    <x v="0"/>
    <x v="1"/>
    <x v="1"/>
    <x v="0"/>
    <x v="245"/>
    <n v="3"/>
    <x v="3"/>
  </r>
  <r>
    <n v="1247"/>
    <n v="15"/>
    <n v="1"/>
    <x v="0"/>
    <x v="3"/>
    <x v="1"/>
    <x v="246"/>
    <x v="23"/>
    <x v="1"/>
    <x v="0"/>
    <x v="0"/>
    <x v="0"/>
    <x v="1"/>
    <x v="0"/>
    <x v="246"/>
    <n v="4"/>
    <x v="2"/>
  </r>
  <r>
    <n v="1248"/>
    <n v="15"/>
    <n v="1"/>
    <x v="0"/>
    <x v="1"/>
    <x v="0"/>
    <x v="247"/>
    <x v="16"/>
    <x v="1"/>
    <x v="0"/>
    <x v="1"/>
    <x v="0"/>
    <x v="1"/>
    <x v="0"/>
    <x v="247"/>
    <n v="4"/>
    <x v="2"/>
  </r>
  <r>
    <n v="1249"/>
    <n v="15"/>
    <n v="0"/>
    <x v="1"/>
    <x v="0"/>
    <x v="0"/>
    <x v="248"/>
    <x v="15"/>
    <x v="1"/>
    <x v="0"/>
    <x v="0"/>
    <x v="1"/>
    <x v="1"/>
    <x v="0"/>
    <x v="248"/>
    <n v="4"/>
    <x v="2"/>
  </r>
  <r>
    <n v="1250"/>
    <n v="17"/>
    <n v="1"/>
    <x v="0"/>
    <x v="0"/>
    <x v="0"/>
    <x v="249"/>
    <x v="14"/>
    <x v="1"/>
    <x v="1"/>
    <x v="0"/>
    <x v="0"/>
    <x v="0"/>
    <x v="0"/>
    <x v="249"/>
    <n v="2"/>
    <x v="0"/>
  </r>
  <r>
    <n v="1251"/>
    <n v="16"/>
    <n v="0"/>
    <x v="1"/>
    <x v="1"/>
    <x v="1"/>
    <x v="250"/>
    <x v="27"/>
    <x v="1"/>
    <x v="2"/>
    <x v="0"/>
    <x v="1"/>
    <x v="1"/>
    <x v="0"/>
    <x v="250"/>
    <n v="4"/>
    <x v="2"/>
  </r>
  <r>
    <n v="1252"/>
    <n v="15"/>
    <n v="0"/>
    <x v="1"/>
    <x v="2"/>
    <x v="1"/>
    <x v="251"/>
    <x v="0"/>
    <x v="1"/>
    <x v="0"/>
    <x v="1"/>
    <x v="0"/>
    <x v="1"/>
    <x v="0"/>
    <x v="251"/>
    <n v="3"/>
    <x v="3"/>
  </r>
  <r>
    <n v="1253"/>
    <n v="18"/>
    <n v="0"/>
    <x v="1"/>
    <x v="0"/>
    <x v="0"/>
    <x v="252"/>
    <x v="22"/>
    <x v="0"/>
    <x v="1"/>
    <x v="1"/>
    <x v="0"/>
    <x v="1"/>
    <x v="0"/>
    <x v="252"/>
    <n v="2"/>
    <x v="0"/>
  </r>
  <r>
    <n v="1254"/>
    <n v="15"/>
    <n v="0"/>
    <x v="1"/>
    <x v="0"/>
    <x v="3"/>
    <x v="253"/>
    <x v="22"/>
    <x v="1"/>
    <x v="2"/>
    <x v="0"/>
    <x v="0"/>
    <x v="1"/>
    <x v="1"/>
    <x v="253"/>
    <n v="1"/>
    <x v="1"/>
  </r>
  <r>
    <n v="1255"/>
    <n v="15"/>
    <n v="1"/>
    <x v="0"/>
    <x v="3"/>
    <x v="0"/>
    <x v="254"/>
    <x v="27"/>
    <x v="0"/>
    <x v="4"/>
    <x v="0"/>
    <x v="0"/>
    <x v="1"/>
    <x v="0"/>
    <x v="254"/>
    <n v="4"/>
    <x v="2"/>
  </r>
  <r>
    <n v="1256"/>
    <n v="17"/>
    <n v="0"/>
    <x v="1"/>
    <x v="2"/>
    <x v="2"/>
    <x v="255"/>
    <x v="5"/>
    <x v="1"/>
    <x v="3"/>
    <x v="1"/>
    <x v="0"/>
    <x v="1"/>
    <x v="1"/>
    <x v="255"/>
    <n v="3"/>
    <x v="3"/>
  </r>
  <r>
    <n v="1257"/>
    <n v="17"/>
    <n v="0"/>
    <x v="1"/>
    <x v="0"/>
    <x v="0"/>
    <x v="256"/>
    <x v="1"/>
    <x v="0"/>
    <x v="2"/>
    <x v="0"/>
    <x v="0"/>
    <x v="1"/>
    <x v="0"/>
    <x v="256"/>
    <n v="1"/>
    <x v="1"/>
  </r>
  <r>
    <n v="1258"/>
    <n v="16"/>
    <n v="1"/>
    <x v="0"/>
    <x v="0"/>
    <x v="0"/>
    <x v="257"/>
    <x v="0"/>
    <x v="0"/>
    <x v="0"/>
    <x v="0"/>
    <x v="1"/>
    <x v="0"/>
    <x v="0"/>
    <x v="257"/>
    <n v="2"/>
    <x v="0"/>
  </r>
  <r>
    <n v="1259"/>
    <n v="18"/>
    <n v="1"/>
    <x v="0"/>
    <x v="0"/>
    <x v="1"/>
    <x v="258"/>
    <x v="3"/>
    <x v="1"/>
    <x v="1"/>
    <x v="1"/>
    <x v="1"/>
    <x v="1"/>
    <x v="0"/>
    <x v="258"/>
    <n v="4"/>
    <x v="2"/>
  </r>
  <r>
    <n v="1260"/>
    <n v="17"/>
    <n v="0"/>
    <x v="1"/>
    <x v="0"/>
    <x v="0"/>
    <x v="259"/>
    <x v="1"/>
    <x v="1"/>
    <x v="1"/>
    <x v="0"/>
    <x v="0"/>
    <x v="1"/>
    <x v="0"/>
    <x v="259"/>
    <n v="1"/>
    <x v="1"/>
  </r>
  <r>
    <n v="1261"/>
    <n v="15"/>
    <n v="1"/>
    <x v="0"/>
    <x v="0"/>
    <x v="0"/>
    <x v="260"/>
    <x v="24"/>
    <x v="1"/>
    <x v="1"/>
    <x v="1"/>
    <x v="0"/>
    <x v="1"/>
    <x v="0"/>
    <x v="260"/>
    <n v="3"/>
    <x v="3"/>
  </r>
  <r>
    <n v="1262"/>
    <n v="16"/>
    <n v="0"/>
    <x v="1"/>
    <x v="0"/>
    <x v="0"/>
    <x v="261"/>
    <x v="16"/>
    <x v="0"/>
    <x v="1"/>
    <x v="1"/>
    <x v="0"/>
    <x v="1"/>
    <x v="0"/>
    <x v="261"/>
    <n v="4"/>
    <x v="2"/>
  </r>
  <r>
    <n v="1263"/>
    <n v="15"/>
    <n v="0"/>
    <x v="1"/>
    <x v="1"/>
    <x v="0"/>
    <x v="262"/>
    <x v="28"/>
    <x v="1"/>
    <x v="0"/>
    <x v="1"/>
    <x v="1"/>
    <x v="1"/>
    <x v="1"/>
    <x v="262"/>
    <n v="4"/>
    <x v="2"/>
  </r>
  <r>
    <n v="1264"/>
    <n v="15"/>
    <n v="0"/>
    <x v="1"/>
    <x v="0"/>
    <x v="0"/>
    <x v="263"/>
    <x v="28"/>
    <x v="1"/>
    <x v="3"/>
    <x v="0"/>
    <x v="0"/>
    <x v="0"/>
    <x v="1"/>
    <x v="263"/>
    <n v="4"/>
    <x v="2"/>
  </r>
  <r>
    <n v="1265"/>
    <n v="17"/>
    <n v="0"/>
    <x v="1"/>
    <x v="1"/>
    <x v="1"/>
    <x v="264"/>
    <x v="21"/>
    <x v="1"/>
    <x v="0"/>
    <x v="0"/>
    <x v="0"/>
    <x v="1"/>
    <x v="0"/>
    <x v="264"/>
    <n v="4"/>
    <x v="2"/>
  </r>
  <r>
    <n v="1266"/>
    <n v="16"/>
    <n v="1"/>
    <x v="0"/>
    <x v="1"/>
    <x v="0"/>
    <x v="265"/>
    <x v="5"/>
    <x v="0"/>
    <x v="2"/>
    <x v="0"/>
    <x v="0"/>
    <x v="1"/>
    <x v="0"/>
    <x v="265"/>
    <n v="3"/>
    <x v="3"/>
  </r>
  <r>
    <n v="1267"/>
    <n v="18"/>
    <n v="0"/>
    <x v="1"/>
    <x v="0"/>
    <x v="1"/>
    <x v="266"/>
    <x v="2"/>
    <x v="1"/>
    <x v="2"/>
    <x v="0"/>
    <x v="0"/>
    <x v="1"/>
    <x v="0"/>
    <x v="266"/>
    <n v="4"/>
    <x v="2"/>
  </r>
  <r>
    <n v="1268"/>
    <n v="18"/>
    <n v="1"/>
    <x v="0"/>
    <x v="2"/>
    <x v="2"/>
    <x v="267"/>
    <x v="25"/>
    <x v="1"/>
    <x v="2"/>
    <x v="0"/>
    <x v="0"/>
    <x v="1"/>
    <x v="0"/>
    <x v="267"/>
    <n v="4"/>
    <x v="2"/>
  </r>
  <r>
    <n v="1269"/>
    <n v="17"/>
    <n v="1"/>
    <x v="0"/>
    <x v="0"/>
    <x v="1"/>
    <x v="268"/>
    <x v="23"/>
    <x v="1"/>
    <x v="4"/>
    <x v="0"/>
    <x v="1"/>
    <x v="0"/>
    <x v="1"/>
    <x v="268"/>
    <n v="4"/>
    <x v="2"/>
  </r>
  <r>
    <n v="1270"/>
    <n v="17"/>
    <n v="1"/>
    <x v="0"/>
    <x v="1"/>
    <x v="4"/>
    <x v="269"/>
    <x v="10"/>
    <x v="0"/>
    <x v="0"/>
    <x v="0"/>
    <x v="1"/>
    <x v="1"/>
    <x v="0"/>
    <x v="269"/>
    <n v="4"/>
    <x v="2"/>
  </r>
  <r>
    <n v="1271"/>
    <n v="16"/>
    <n v="1"/>
    <x v="0"/>
    <x v="0"/>
    <x v="0"/>
    <x v="270"/>
    <x v="9"/>
    <x v="1"/>
    <x v="2"/>
    <x v="0"/>
    <x v="0"/>
    <x v="1"/>
    <x v="0"/>
    <x v="270"/>
    <n v="4"/>
    <x v="2"/>
  </r>
  <r>
    <n v="1272"/>
    <n v="18"/>
    <n v="0"/>
    <x v="1"/>
    <x v="2"/>
    <x v="0"/>
    <x v="271"/>
    <x v="23"/>
    <x v="1"/>
    <x v="2"/>
    <x v="0"/>
    <x v="0"/>
    <x v="1"/>
    <x v="1"/>
    <x v="271"/>
    <n v="4"/>
    <x v="2"/>
  </r>
  <r>
    <n v="1273"/>
    <n v="18"/>
    <n v="1"/>
    <x v="0"/>
    <x v="2"/>
    <x v="0"/>
    <x v="272"/>
    <x v="8"/>
    <x v="1"/>
    <x v="3"/>
    <x v="0"/>
    <x v="0"/>
    <x v="1"/>
    <x v="0"/>
    <x v="272"/>
    <n v="3"/>
    <x v="3"/>
  </r>
  <r>
    <n v="1274"/>
    <n v="18"/>
    <n v="0"/>
    <x v="1"/>
    <x v="0"/>
    <x v="1"/>
    <x v="273"/>
    <x v="12"/>
    <x v="1"/>
    <x v="2"/>
    <x v="0"/>
    <x v="0"/>
    <x v="1"/>
    <x v="1"/>
    <x v="273"/>
    <n v="4"/>
    <x v="2"/>
  </r>
  <r>
    <n v="1275"/>
    <n v="15"/>
    <n v="1"/>
    <x v="0"/>
    <x v="0"/>
    <x v="0"/>
    <x v="274"/>
    <x v="23"/>
    <x v="0"/>
    <x v="1"/>
    <x v="0"/>
    <x v="0"/>
    <x v="1"/>
    <x v="0"/>
    <x v="274"/>
    <n v="3"/>
    <x v="3"/>
  </r>
  <r>
    <n v="1276"/>
    <n v="18"/>
    <n v="1"/>
    <x v="0"/>
    <x v="2"/>
    <x v="1"/>
    <x v="275"/>
    <x v="11"/>
    <x v="1"/>
    <x v="0"/>
    <x v="1"/>
    <x v="0"/>
    <x v="1"/>
    <x v="1"/>
    <x v="275"/>
    <n v="2"/>
    <x v="0"/>
  </r>
  <r>
    <n v="1277"/>
    <n v="15"/>
    <n v="0"/>
    <x v="1"/>
    <x v="1"/>
    <x v="2"/>
    <x v="276"/>
    <x v="21"/>
    <x v="1"/>
    <x v="4"/>
    <x v="1"/>
    <x v="1"/>
    <x v="1"/>
    <x v="0"/>
    <x v="276"/>
    <n v="4"/>
    <x v="2"/>
  </r>
  <r>
    <n v="1278"/>
    <n v="16"/>
    <n v="0"/>
    <x v="1"/>
    <x v="0"/>
    <x v="2"/>
    <x v="277"/>
    <x v="25"/>
    <x v="0"/>
    <x v="2"/>
    <x v="0"/>
    <x v="0"/>
    <x v="1"/>
    <x v="0"/>
    <x v="277"/>
    <n v="4"/>
    <x v="2"/>
  </r>
  <r>
    <n v="1279"/>
    <n v="15"/>
    <n v="0"/>
    <x v="1"/>
    <x v="2"/>
    <x v="0"/>
    <x v="278"/>
    <x v="23"/>
    <x v="0"/>
    <x v="0"/>
    <x v="0"/>
    <x v="0"/>
    <x v="1"/>
    <x v="0"/>
    <x v="278"/>
    <n v="3"/>
    <x v="3"/>
  </r>
  <r>
    <n v="1280"/>
    <n v="16"/>
    <n v="1"/>
    <x v="0"/>
    <x v="0"/>
    <x v="1"/>
    <x v="279"/>
    <x v="4"/>
    <x v="1"/>
    <x v="2"/>
    <x v="0"/>
    <x v="0"/>
    <x v="1"/>
    <x v="0"/>
    <x v="279"/>
    <n v="4"/>
    <x v="2"/>
  </r>
  <r>
    <n v="1281"/>
    <n v="18"/>
    <n v="1"/>
    <x v="0"/>
    <x v="1"/>
    <x v="0"/>
    <x v="280"/>
    <x v="10"/>
    <x v="1"/>
    <x v="3"/>
    <x v="0"/>
    <x v="0"/>
    <x v="1"/>
    <x v="1"/>
    <x v="280"/>
    <n v="4"/>
    <x v="2"/>
  </r>
  <r>
    <n v="1282"/>
    <n v="18"/>
    <n v="0"/>
    <x v="1"/>
    <x v="0"/>
    <x v="4"/>
    <x v="281"/>
    <x v="18"/>
    <x v="0"/>
    <x v="2"/>
    <x v="0"/>
    <x v="0"/>
    <x v="0"/>
    <x v="0"/>
    <x v="281"/>
    <n v="2"/>
    <x v="0"/>
  </r>
  <r>
    <n v="1283"/>
    <n v="16"/>
    <n v="0"/>
    <x v="1"/>
    <x v="1"/>
    <x v="0"/>
    <x v="282"/>
    <x v="12"/>
    <x v="1"/>
    <x v="0"/>
    <x v="1"/>
    <x v="0"/>
    <x v="1"/>
    <x v="1"/>
    <x v="282"/>
    <n v="4"/>
    <x v="2"/>
  </r>
  <r>
    <n v="1284"/>
    <n v="17"/>
    <n v="0"/>
    <x v="1"/>
    <x v="0"/>
    <x v="1"/>
    <x v="283"/>
    <x v="17"/>
    <x v="0"/>
    <x v="1"/>
    <x v="0"/>
    <x v="0"/>
    <x v="1"/>
    <x v="0"/>
    <x v="283"/>
    <n v="3"/>
    <x v="3"/>
  </r>
  <r>
    <n v="1285"/>
    <n v="16"/>
    <n v="0"/>
    <x v="1"/>
    <x v="0"/>
    <x v="2"/>
    <x v="284"/>
    <x v="0"/>
    <x v="0"/>
    <x v="2"/>
    <x v="1"/>
    <x v="1"/>
    <x v="0"/>
    <x v="0"/>
    <x v="284"/>
    <n v="1"/>
    <x v="1"/>
  </r>
  <r>
    <n v="1286"/>
    <n v="17"/>
    <n v="1"/>
    <x v="0"/>
    <x v="0"/>
    <x v="4"/>
    <x v="285"/>
    <x v="15"/>
    <x v="1"/>
    <x v="1"/>
    <x v="0"/>
    <x v="0"/>
    <x v="1"/>
    <x v="0"/>
    <x v="285"/>
    <n v="4"/>
    <x v="2"/>
  </r>
  <r>
    <n v="1287"/>
    <n v="15"/>
    <n v="0"/>
    <x v="1"/>
    <x v="0"/>
    <x v="0"/>
    <x v="286"/>
    <x v="19"/>
    <x v="0"/>
    <x v="1"/>
    <x v="0"/>
    <x v="0"/>
    <x v="1"/>
    <x v="0"/>
    <x v="286"/>
    <n v="4"/>
    <x v="2"/>
  </r>
  <r>
    <n v="1288"/>
    <n v="15"/>
    <n v="0"/>
    <x v="1"/>
    <x v="2"/>
    <x v="0"/>
    <x v="287"/>
    <x v="4"/>
    <x v="1"/>
    <x v="1"/>
    <x v="0"/>
    <x v="0"/>
    <x v="1"/>
    <x v="0"/>
    <x v="287"/>
    <n v="4"/>
    <x v="2"/>
  </r>
  <r>
    <n v="1289"/>
    <n v="15"/>
    <n v="0"/>
    <x v="1"/>
    <x v="0"/>
    <x v="0"/>
    <x v="288"/>
    <x v="26"/>
    <x v="1"/>
    <x v="0"/>
    <x v="1"/>
    <x v="0"/>
    <x v="1"/>
    <x v="0"/>
    <x v="288"/>
    <n v="2"/>
    <x v="0"/>
  </r>
  <r>
    <n v="1290"/>
    <n v="18"/>
    <n v="0"/>
    <x v="1"/>
    <x v="1"/>
    <x v="4"/>
    <x v="289"/>
    <x v="17"/>
    <x v="1"/>
    <x v="1"/>
    <x v="0"/>
    <x v="0"/>
    <x v="1"/>
    <x v="0"/>
    <x v="289"/>
    <n v="3"/>
    <x v="3"/>
  </r>
  <r>
    <n v="1291"/>
    <n v="15"/>
    <n v="1"/>
    <x v="0"/>
    <x v="0"/>
    <x v="3"/>
    <x v="290"/>
    <x v="16"/>
    <x v="0"/>
    <x v="3"/>
    <x v="0"/>
    <x v="1"/>
    <x v="0"/>
    <x v="0"/>
    <x v="290"/>
    <n v="4"/>
    <x v="2"/>
  </r>
  <r>
    <n v="1292"/>
    <n v="17"/>
    <n v="0"/>
    <x v="1"/>
    <x v="0"/>
    <x v="0"/>
    <x v="291"/>
    <x v="27"/>
    <x v="1"/>
    <x v="3"/>
    <x v="1"/>
    <x v="0"/>
    <x v="1"/>
    <x v="0"/>
    <x v="291"/>
    <n v="4"/>
    <x v="2"/>
  </r>
  <r>
    <n v="1293"/>
    <n v="15"/>
    <n v="1"/>
    <x v="0"/>
    <x v="0"/>
    <x v="0"/>
    <x v="292"/>
    <x v="22"/>
    <x v="1"/>
    <x v="3"/>
    <x v="0"/>
    <x v="0"/>
    <x v="0"/>
    <x v="0"/>
    <x v="292"/>
    <n v="1"/>
    <x v="1"/>
  </r>
  <r>
    <n v="1294"/>
    <n v="16"/>
    <n v="0"/>
    <x v="1"/>
    <x v="0"/>
    <x v="1"/>
    <x v="293"/>
    <x v="24"/>
    <x v="0"/>
    <x v="4"/>
    <x v="0"/>
    <x v="0"/>
    <x v="1"/>
    <x v="1"/>
    <x v="293"/>
    <n v="2"/>
    <x v="0"/>
  </r>
  <r>
    <n v="1295"/>
    <n v="16"/>
    <n v="0"/>
    <x v="1"/>
    <x v="0"/>
    <x v="0"/>
    <x v="294"/>
    <x v="22"/>
    <x v="1"/>
    <x v="3"/>
    <x v="0"/>
    <x v="0"/>
    <x v="1"/>
    <x v="0"/>
    <x v="294"/>
    <n v="1"/>
    <x v="1"/>
  </r>
  <r>
    <n v="1296"/>
    <n v="18"/>
    <n v="1"/>
    <x v="0"/>
    <x v="0"/>
    <x v="0"/>
    <x v="295"/>
    <x v="29"/>
    <x v="1"/>
    <x v="3"/>
    <x v="0"/>
    <x v="0"/>
    <x v="0"/>
    <x v="0"/>
    <x v="295"/>
    <n v="4"/>
    <x v="2"/>
  </r>
  <r>
    <n v="1297"/>
    <n v="16"/>
    <n v="0"/>
    <x v="1"/>
    <x v="0"/>
    <x v="4"/>
    <x v="296"/>
    <x v="5"/>
    <x v="0"/>
    <x v="3"/>
    <x v="0"/>
    <x v="1"/>
    <x v="1"/>
    <x v="0"/>
    <x v="296"/>
    <n v="1"/>
    <x v="1"/>
  </r>
  <r>
    <n v="1298"/>
    <n v="17"/>
    <n v="1"/>
    <x v="0"/>
    <x v="0"/>
    <x v="1"/>
    <x v="297"/>
    <x v="8"/>
    <x v="0"/>
    <x v="2"/>
    <x v="0"/>
    <x v="0"/>
    <x v="1"/>
    <x v="0"/>
    <x v="297"/>
    <n v="4"/>
    <x v="2"/>
  </r>
  <r>
    <n v="1299"/>
    <n v="15"/>
    <n v="1"/>
    <x v="0"/>
    <x v="2"/>
    <x v="2"/>
    <x v="298"/>
    <x v="23"/>
    <x v="0"/>
    <x v="2"/>
    <x v="0"/>
    <x v="1"/>
    <x v="1"/>
    <x v="0"/>
    <x v="298"/>
    <n v="2"/>
    <x v="0"/>
  </r>
  <r>
    <n v="1300"/>
    <n v="18"/>
    <n v="0"/>
    <x v="1"/>
    <x v="2"/>
    <x v="1"/>
    <x v="299"/>
    <x v="19"/>
    <x v="0"/>
    <x v="1"/>
    <x v="0"/>
    <x v="0"/>
    <x v="1"/>
    <x v="0"/>
    <x v="299"/>
    <n v="4"/>
    <x v="2"/>
  </r>
  <r>
    <n v="1301"/>
    <n v="15"/>
    <n v="1"/>
    <x v="0"/>
    <x v="0"/>
    <x v="1"/>
    <x v="300"/>
    <x v="25"/>
    <x v="1"/>
    <x v="2"/>
    <x v="1"/>
    <x v="0"/>
    <x v="1"/>
    <x v="0"/>
    <x v="300"/>
    <n v="4"/>
    <x v="2"/>
  </r>
  <r>
    <n v="1302"/>
    <n v="15"/>
    <n v="1"/>
    <x v="0"/>
    <x v="0"/>
    <x v="0"/>
    <x v="301"/>
    <x v="11"/>
    <x v="1"/>
    <x v="4"/>
    <x v="1"/>
    <x v="0"/>
    <x v="1"/>
    <x v="0"/>
    <x v="301"/>
    <n v="4"/>
    <x v="2"/>
  </r>
  <r>
    <n v="1303"/>
    <n v="17"/>
    <n v="1"/>
    <x v="0"/>
    <x v="3"/>
    <x v="0"/>
    <x v="302"/>
    <x v="4"/>
    <x v="1"/>
    <x v="0"/>
    <x v="0"/>
    <x v="0"/>
    <x v="1"/>
    <x v="0"/>
    <x v="302"/>
    <n v="4"/>
    <x v="2"/>
  </r>
  <r>
    <n v="1304"/>
    <n v="16"/>
    <n v="1"/>
    <x v="0"/>
    <x v="2"/>
    <x v="4"/>
    <x v="303"/>
    <x v="9"/>
    <x v="1"/>
    <x v="3"/>
    <x v="0"/>
    <x v="0"/>
    <x v="1"/>
    <x v="0"/>
    <x v="303"/>
    <n v="4"/>
    <x v="2"/>
  </r>
  <r>
    <n v="1305"/>
    <n v="16"/>
    <n v="1"/>
    <x v="0"/>
    <x v="2"/>
    <x v="0"/>
    <x v="304"/>
    <x v="26"/>
    <x v="1"/>
    <x v="0"/>
    <x v="0"/>
    <x v="1"/>
    <x v="0"/>
    <x v="0"/>
    <x v="304"/>
    <n v="1"/>
    <x v="1"/>
  </r>
  <r>
    <n v="1306"/>
    <n v="15"/>
    <n v="1"/>
    <x v="0"/>
    <x v="0"/>
    <x v="1"/>
    <x v="305"/>
    <x v="0"/>
    <x v="0"/>
    <x v="1"/>
    <x v="0"/>
    <x v="0"/>
    <x v="1"/>
    <x v="0"/>
    <x v="305"/>
    <n v="3"/>
    <x v="3"/>
  </r>
  <r>
    <n v="1307"/>
    <n v="18"/>
    <n v="1"/>
    <x v="0"/>
    <x v="1"/>
    <x v="4"/>
    <x v="306"/>
    <x v="23"/>
    <x v="1"/>
    <x v="3"/>
    <x v="0"/>
    <x v="0"/>
    <x v="1"/>
    <x v="0"/>
    <x v="306"/>
    <n v="3"/>
    <x v="3"/>
  </r>
  <r>
    <n v="1308"/>
    <n v="16"/>
    <n v="1"/>
    <x v="0"/>
    <x v="1"/>
    <x v="4"/>
    <x v="307"/>
    <x v="26"/>
    <x v="1"/>
    <x v="3"/>
    <x v="0"/>
    <x v="1"/>
    <x v="1"/>
    <x v="1"/>
    <x v="307"/>
    <n v="0"/>
    <x v="4"/>
  </r>
  <r>
    <n v="1309"/>
    <n v="18"/>
    <n v="0"/>
    <x v="1"/>
    <x v="2"/>
    <x v="2"/>
    <x v="308"/>
    <x v="15"/>
    <x v="1"/>
    <x v="1"/>
    <x v="1"/>
    <x v="0"/>
    <x v="1"/>
    <x v="0"/>
    <x v="308"/>
    <n v="4"/>
    <x v="2"/>
  </r>
  <r>
    <n v="1310"/>
    <n v="16"/>
    <n v="0"/>
    <x v="1"/>
    <x v="3"/>
    <x v="1"/>
    <x v="309"/>
    <x v="20"/>
    <x v="1"/>
    <x v="2"/>
    <x v="0"/>
    <x v="1"/>
    <x v="1"/>
    <x v="0"/>
    <x v="309"/>
    <n v="4"/>
    <x v="2"/>
  </r>
  <r>
    <n v="1311"/>
    <n v="18"/>
    <n v="1"/>
    <x v="0"/>
    <x v="0"/>
    <x v="4"/>
    <x v="310"/>
    <x v="21"/>
    <x v="1"/>
    <x v="0"/>
    <x v="1"/>
    <x v="0"/>
    <x v="1"/>
    <x v="0"/>
    <x v="310"/>
    <n v="4"/>
    <x v="2"/>
  </r>
  <r>
    <n v="1312"/>
    <n v="17"/>
    <n v="0"/>
    <x v="1"/>
    <x v="0"/>
    <x v="0"/>
    <x v="311"/>
    <x v="0"/>
    <x v="1"/>
    <x v="0"/>
    <x v="0"/>
    <x v="0"/>
    <x v="0"/>
    <x v="1"/>
    <x v="311"/>
    <n v="1"/>
    <x v="1"/>
  </r>
  <r>
    <n v="1313"/>
    <n v="18"/>
    <n v="1"/>
    <x v="0"/>
    <x v="1"/>
    <x v="2"/>
    <x v="312"/>
    <x v="29"/>
    <x v="1"/>
    <x v="1"/>
    <x v="0"/>
    <x v="0"/>
    <x v="1"/>
    <x v="0"/>
    <x v="312"/>
    <n v="4"/>
    <x v="2"/>
  </r>
  <r>
    <n v="1314"/>
    <n v="17"/>
    <n v="1"/>
    <x v="0"/>
    <x v="1"/>
    <x v="1"/>
    <x v="313"/>
    <x v="15"/>
    <x v="1"/>
    <x v="4"/>
    <x v="0"/>
    <x v="0"/>
    <x v="1"/>
    <x v="0"/>
    <x v="313"/>
    <n v="4"/>
    <x v="2"/>
  </r>
  <r>
    <n v="1315"/>
    <n v="17"/>
    <n v="0"/>
    <x v="1"/>
    <x v="0"/>
    <x v="0"/>
    <x v="314"/>
    <x v="17"/>
    <x v="0"/>
    <x v="1"/>
    <x v="0"/>
    <x v="1"/>
    <x v="1"/>
    <x v="0"/>
    <x v="314"/>
    <n v="2"/>
    <x v="0"/>
  </r>
  <r>
    <n v="1316"/>
    <n v="18"/>
    <n v="1"/>
    <x v="0"/>
    <x v="0"/>
    <x v="4"/>
    <x v="315"/>
    <x v="9"/>
    <x v="0"/>
    <x v="4"/>
    <x v="0"/>
    <x v="1"/>
    <x v="1"/>
    <x v="0"/>
    <x v="315"/>
    <n v="4"/>
    <x v="2"/>
  </r>
  <r>
    <n v="1317"/>
    <n v="17"/>
    <n v="1"/>
    <x v="0"/>
    <x v="0"/>
    <x v="0"/>
    <x v="316"/>
    <x v="20"/>
    <x v="1"/>
    <x v="3"/>
    <x v="0"/>
    <x v="0"/>
    <x v="1"/>
    <x v="0"/>
    <x v="316"/>
    <n v="4"/>
    <x v="2"/>
  </r>
  <r>
    <n v="1318"/>
    <n v="15"/>
    <n v="1"/>
    <x v="0"/>
    <x v="0"/>
    <x v="0"/>
    <x v="317"/>
    <x v="22"/>
    <x v="0"/>
    <x v="2"/>
    <x v="1"/>
    <x v="0"/>
    <x v="1"/>
    <x v="0"/>
    <x v="317"/>
    <n v="1"/>
    <x v="1"/>
  </r>
  <r>
    <n v="1319"/>
    <n v="17"/>
    <n v="1"/>
    <x v="0"/>
    <x v="1"/>
    <x v="0"/>
    <x v="318"/>
    <x v="8"/>
    <x v="1"/>
    <x v="2"/>
    <x v="0"/>
    <x v="0"/>
    <x v="0"/>
    <x v="0"/>
    <x v="318"/>
    <n v="2"/>
    <x v="0"/>
  </r>
  <r>
    <n v="1320"/>
    <n v="16"/>
    <n v="0"/>
    <x v="1"/>
    <x v="2"/>
    <x v="1"/>
    <x v="319"/>
    <x v="5"/>
    <x v="1"/>
    <x v="2"/>
    <x v="0"/>
    <x v="0"/>
    <x v="1"/>
    <x v="0"/>
    <x v="319"/>
    <n v="3"/>
    <x v="3"/>
  </r>
  <r>
    <n v="1321"/>
    <n v="18"/>
    <n v="1"/>
    <x v="0"/>
    <x v="0"/>
    <x v="1"/>
    <x v="320"/>
    <x v="14"/>
    <x v="1"/>
    <x v="1"/>
    <x v="1"/>
    <x v="0"/>
    <x v="1"/>
    <x v="0"/>
    <x v="320"/>
    <n v="2"/>
    <x v="0"/>
  </r>
  <r>
    <n v="1322"/>
    <n v="15"/>
    <n v="1"/>
    <x v="0"/>
    <x v="0"/>
    <x v="1"/>
    <x v="321"/>
    <x v="8"/>
    <x v="1"/>
    <x v="3"/>
    <x v="1"/>
    <x v="0"/>
    <x v="1"/>
    <x v="0"/>
    <x v="321"/>
    <n v="2"/>
    <x v="0"/>
  </r>
  <r>
    <n v="1323"/>
    <n v="18"/>
    <n v="1"/>
    <x v="0"/>
    <x v="0"/>
    <x v="1"/>
    <x v="322"/>
    <x v="13"/>
    <x v="0"/>
    <x v="2"/>
    <x v="1"/>
    <x v="1"/>
    <x v="1"/>
    <x v="0"/>
    <x v="322"/>
    <n v="4"/>
    <x v="2"/>
  </r>
  <r>
    <n v="1324"/>
    <n v="16"/>
    <n v="0"/>
    <x v="1"/>
    <x v="0"/>
    <x v="4"/>
    <x v="323"/>
    <x v="26"/>
    <x v="1"/>
    <x v="0"/>
    <x v="0"/>
    <x v="0"/>
    <x v="1"/>
    <x v="0"/>
    <x v="323"/>
    <n v="2"/>
    <x v="0"/>
  </r>
  <r>
    <n v="1325"/>
    <n v="16"/>
    <n v="1"/>
    <x v="0"/>
    <x v="2"/>
    <x v="0"/>
    <x v="324"/>
    <x v="17"/>
    <x v="0"/>
    <x v="1"/>
    <x v="0"/>
    <x v="1"/>
    <x v="1"/>
    <x v="0"/>
    <x v="324"/>
    <n v="2"/>
    <x v="0"/>
  </r>
  <r>
    <n v="1326"/>
    <n v="16"/>
    <n v="0"/>
    <x v="1"/>
    <x v="3"/>
    <x v="3"/>
    <x v="325"/>
    <x v="27"/>
    <x v="1"/>
    <x v="2"/>
    <x v="0"/>
    <x v="0"/>
    <x v="1"/>
    <x v="0"/>
    <x v="325"/>
    <n v="4"/>
    <x v="2"/>
  </r>
  <r>
    <n v="1327"/>
    <n v="17"/>
    <n v="0"/>
    <x v="1"/>
    <x v="1"/>
    <x v="3"/>
    <x v="326"/>
    <x v="4"/>
    <x v="1"/>
    <x v="2"/>
    <x v="0"/>
    <x v="1"/>
    <x v="1"/>
    <x v="0"/>
    <x v="326"/>
    <n v="4"/>
    <x v="2"/>
  </r>
  <r>
    <n v="1328"/>
    <n v="17"/>
    <n v="1"/>
    <x v="0"/>
    <x v="0"/>
    <x v="2"/>
    <x v="327"/>
    <x v="9"/>
    <x v="0"/>
    <x v="2"/>
    <x v="0"/>
    <x v="0"/>
    <x v="1"/>
    <x v="0"/>
    <x v="327"/>
    <n v="4"/>
    <x v="2"/>
  </r>
  <r>
    <n v="1329"/>
    <n v="18"/>
    <n v="1"/>
    <x v="0"/>
    <x v="1"/>
    <x v="0"/>
    <x v="328"/>
    <x v="6"/>
    <x v="1"/>
    <x v="4"/>
    <x v="0"/>
    <x v="0"/>
    <x v="1"/>
    <x v="0"/>
    <x v="328"/>
    <n v="4"/>
    <x v="2"/>
  </r>
  <r>
    <n v="1330"/>
    <n v="18"/>
    <n v="0"/>
    <x v="1"/>
    <x v="1"/>
    <x v="0"/>
    <x v="329"/>
    <x v="5"/>
    <x v="1"/>
    <x v="1"/>
    <x v="1"/>
    <x v="1"/>
    <x v="1"/>
    <x v="0"/>
    <x v="329"/>
    <n v="3"/>
    <x v="3"/>
  </r>
  <r>
    <n v="1331"/>
    <n v="15"/>
    <n v="1"/>
    <x v="0"/>
    <x v="1"/>
    <x v="1"/>
    <x v="330"/>
    <x v="26"/>
    <x v="1"/>
    <x v="0"/>
    <x v="1"/>
    <x v="1"/>
    <x v="0"/>
    <x v="0"/>
    <x v="330"/>
    <n v="1"/>
    <x v="1"/>
  </r>
  <r>
    <n v="1332"/>
    <n v="15"/>
    <n v="0"/>
    <x v="1"/>
    <x v="0"/>
    <x v="0"/>
    <x v="331"/>
    <x v="18"/>
    <x v="1"/>
    <x v="2"/>
    <x v="0"/>
    <x v="1"/>
    <x v="1"/>
    <x v="0"/>
    <x v="331"/>
    <n v="3"/>
    <x v="3"/>
  </r>
  <r>
    <n v="1333"/>
    <n v="18"/>
    <n v="0"/>
    <x v="1"/>
    <x v="0"/>
    <x v="0"/>
    <x v="332"/>
    <x v="14"/>
    <x v="1"/>
    <x v="4"/>
    <x v="0"/>
    <x v="0"/>
    <x v="1"/>
    <x v="0"/>
    <x v="332"/>
    <n v="2"/>
    <x v="0"/>
  </r>
  <r>
    <n v="1334"/>
    <n v="17"/>
    <n v="1"/>
    <x v="0"/>
    <x v="0"/>
    <x v="0"/>
    <x v="333"/>
    <x v="13"/>
    <x v="1"/>
    <x v="0"/>
    <x v="0"/>
    <x v="1"/>
    <x v="1"/>
    <x v="1"/>
    <x v="333"/>
    <n v="4"/>
    <x v="2"/>
  </r>
  <r>
    <n v="1335"/>
    <n v="16"/>
    <n v="1"/>
    <x v="0"/>
    <x v="0"/>
    <x v="0"/>
    <x v="334"/>
    <x v="0"/>
    <x v="1"/>
    <x v="0"/>
    <x v="0"/>
    <x v="0"/>
    <x v="1"/>
    <x v="0"/>
    <x v="334"/>
    <n v="2"/>
    <x v="0"/>
  </r>
  <r>
    <n v="1336"/>
    <n v="18"/>
    <n v="0"/>
    <x v="1"/>
    <x v="0"/>
    <x v="1"/>
    <x v="335"/>
    <x v="17"/>
    <x v="1"/>
    <x v="2"/>
    <x v="0"/>
    <x v="0"/>
    <x v="1"/>
    <x v="0"/>
    <x v="335"/>
    <n v="1"/>
    <x v="1"/>
  </r>
  <r>
    <n v="1337"/>
    <n v="15"/>
    <n v="0"/>
    <x v="1"/>
    <x v="0"/>
    <x v="1"/>
    <x v="336"/>
    <x v="22"/>
    <x v="1"/>
    <x v="0"/>
    <x v="1"/>
    <x v="0"/>
    <x v="1"/>
    <x v="0"/>
    <x v="336"/>
    <n v="2"/>
    <x v="0"/>
  </r>
  <r>
    <n v="1338"/>
    <n v="17"/>
    <n v="0"/>
    <x v="1"/>
    <x v="0"/>
    <x v="2"/>
    <x v="337"/>
    <x v="8"/>
    <x v="1"/>
    <x v="0"/>
    <x v="0"/>
    <x v="1"/>
    <x v="1"/>
    <x v="0"/>
    <x v="337"/>
    <n v="4"/>
    <x v="2"/>
  </r>
  <r>
    <n v="1339"/>
    <n v="18"/>
    <n v="0"/>
    <x v="1"/>
    <x v="1"/>
    <x v="4"/>
    <x v="338"/>
    <x v="8"/>
    <x v="1"/>
    <x v="2"/>
    <x v="0"/>
    <x v="0"/>
    <x v="1"/>
    <x v="0"/>
    <x v="338"/>
    <n v="3"/>
    <x v="3"/>
  </r>
  <r>
    <n v="1340"/>
    <n v="18"/>
    <n v="1"/>
    <x v="0"/>
    <x v="0"/>
    <x v="0"/>
    <x v="339"/>
    <x v="29"/>
    <x v="1"/>
    <x v="3"/>
    <x v="0"/>
    <x v="0"/>
    <x v="1"/>
    <x v="1"/>
    <x v="339"/>
    <n v="4"/>
    <x v="2"/>
  </r>
  <r>
    <n v="1341"/>
    <n v="17"/>
    <n v="1"/>
    <x v="0"/>
    <x v="0"/>
    <x v="2"/>
    <x v="340"/>
    <x v="16"/>
    <x v="1"/>
    <x v="1"/>
    <x v="1"/>
    <x v="0"/>
    <x v="1"/>
    <x v="0"/>
    <x v="340"/>
    <n v="4"/>
    <x v="2"/>
  </r>
  <r>
    <n v="1342"/>
    <n v="18"/>
    <n v="1"/>
    <x v="0"/>
    <x v="3"/>
    <x v="0"/>
    <x v="341"/>
    <x v="9"/>
    <x v="1"/>
    <x v="1"/>
    <x v="1"/>
    <x v="0"/>
    <x v="0"/>
    <x v="0"/>
    <x v="341"/>
    <n v="4"/>
    <x v="2"/>
  </r>
  <r>
    <n v="1343"/>
    <n v="17"/>
    <n v="1"/>
    <x v="0"/>
    <x v="3"/>
    <x v="0"/>
    <x v="342"/>
    <x v="11"/>
    <x v="1"/>
    <x v="3"/>
    <x v="1"/>
    <x v="0"/>
    <x v="0"/>
    <x v="0"/>
    <x v="342"/>
    <n v="2"/>
    <x v="0"/>
  </r>
  <r>
    <n v="1344"/>
    <n v="16"/>
    <n v="1"/>
    <x v="0"/>
    <x v="1"/>
    <x v="1"/>
    <x v="343"/>
    <x v="10"/>
    <x v="1"/>
    <x v="0"/>
    <x v="0"/>
    <x v="0"/>
    <x v="1"/>
    <x v="0"/>
    <x v="343"/>
    <n v="4"/>
    <x v="2"/>
  </r>
  <r>
    <n v="1345"/>
    <n v="17"/>
    <n v="0"/>
    <x v="1"/>
    <x v="3"/>
    <x v="1"/>
    <x v="344"/>
    <x v="23"/>
    <x v="1"/>
    <x v="2"/>
    <x v="0"/>
    <x v="0"/>
    <x v="1"/>
    <x v="1"/>
    <x v="344"/>
    <n v="4"/>
    <x v="2"/>
  </r>
  <r>
    <n v="1346"/>
    <n v="17"/>
    <n v="1"/>
    <x v="0"/>
    <x v="2"/>
    <x v="2"/>
    <x v="345"/>
    <x v="19"/>
    <x v="1"/>
    <x v="2"/>
    <x v="0"/>
    <x v="0"/>
    <x v="1"/>
    <x v="0"/>
    <x v="345"/>
    <n v="4"/>
    <x v="2"/>
  </r>
  <r>
    <n v="1347"/>
    <n v="17"/>
    <n v="1"/>
    <x v="0"/>
    <x v="3"/>
    <x v="0"/>
    <x v="346"/>
    <x v="18"/>
    <x v="1"/>
    <x v="1"/>
    <x v="0"/>
    <x v="1"/>
    <x v="0"/>
    <x v="0"/>
    <x v="346"/>
    <n v="2"/>
    <x v="0"/>
  </r>
  <r>
    <n v="1348"/>
    <n v="18"/>
    <n v="1"/>
    <x v="0"/>
    <x v="0"/>
    <x v="0"/>
    <x v="347"/>
    <x v="24"/>
    <x v="1"/>
    <x v="2"/>
    <x v="1"/>
    <x v="0"/>
    <x v="0"/>
    <x v="0"/>
    <x v="347"/>
    <n v="1"/>
    <x v="1"/>
  </r>
  <r>
    <n v="1349"/>
    <n v="18"/>
    <n v="1"/>
    <x v="0"/>
    <x v="0"/>
    <x v="4"/>
    <x v="348"/>
    <x v="8"/>
    <x v="1"/>
    <x v="2"/>
    <x v="0"/>
    <x v="0"/>
    <x v="1"/>
    <x v="0"/>
    <x v="348"/>
    <n v="4"/>
    <x v="2"/>
  </r>
  <r>
    <n v="1350"/>
    <n v="17"/>
    <n v="1"/>
    <x v="0"/>
    <x v="0"/>
    <x v="4"/>
    <x v="349"/>
    <x v="26"/>
    <x v="1"/>
    <x v="0"/>
    <x v="0"/>
    <x v="0"/>
    <x v="1"/>
    <x v="0"/>
    <x v="349"/>
    <n v="2"/>
    <x v="0"/>
  </r>
  <r>
    <n v="1351"/>
    <n v="18"/>
    <n v="0"/>
    <x v="1"/>
    <x v="0"/>
    <x v="3"/>
    <x v="350"/>
    <x v="4"/>
    <x v="1"/>
    <x v="4"/>
    <x v="0"/>
    <x v="0"/>
    <x v="0"/>
    <x v="0"/>
    <x v="350"/>
    <n v="4"/>
    <x v="2"/>
  </r>
  <r>
    <n v="1352"/>
    <n v="15"/>
    <n v="0"/>
    <x v="1"/>
    <x v="0"/>
    <x v="1"/>
    <x v="351"/>
    <x v="22"/>
    <x v="1"/>
    <x v="3"/>
    <x v="0"/>
    <x v="0"/>
    <x v="1"/>
    <x v="0"/>
    <x v="351"/>
    <n v="2"/>
    <x v="0"/>
  </r>
  <r>
    <n v="1353"/>
    <n v="15"/>
    <n v="0"/>
    <x v="1"/>
    <x v="2"/>
    <x v="0"/>
    <x v="352"/>
    <x v="7"/>
    <x v="1"/>
    <x v="0"/>
    <x v="0"/>
    <x v="1"/>
    <x v="1"/>
    <x v="0"/>
    <x v="352"/>
    <n v="2"/>
    <x v="0"/>
  </r>
  <r>
    <n v="1354"/>
    <n v="18"/>
    <n v="1"/>
    <x v="0"/>
    <x v="1"/>
    <x v="4"/>
    <x v="353"/>
    <x v="14"/>
    <x v="0"/>
    <x v="2"/>
    <x v="0"/>
    <x v="0"/>
    <x v="1"/>
    <x v="0"/>
    <x v="353"/>
    <n v="1"/>
    <x v="1"/>
  </r>
  <r>
    <n v="1355"/>
    <n v="18"/>
    <n v="0"/>
    <x v="1"/>
    <x v="2"/>
    <x v="0"/>
    <x v="354"/>
    <x v="15"/>
    <x v="1"/>
    <x v="2"/>
    <x v="0"/>
    <x v="0"/>
    <x v="1"/>
    <x v="0"/>
    <x v="354"/>
    <n v="4"/>
    <x v="2"/>
  </r>
  <r>
    <n v="1356"/>
    <n v="17"/>
    <n v="0"/>
    <x v="1"/>
    <x v="0"/>
    <x v="2"/>
    <x v="355"/>
    <x v="8"/>
    <x v="0"/>
    <x v="0"/>
    <x v="0"/>
    <x v="0"/>
    <x v="1"/>
    <x v="0"/>
    <x v="355"/>
    <n v="3"/>
    <x v="3"/>
  </r>
  <r>
    <n v="1357"/>
    <n v="16"/>
    <n v="1"/>
    <x v="0"/>
    <x v="1"/>
    <x v="0"/>
    <x v="356"/>
    <x v="14"/>
    <x v="0"/>
    <x v="2"/>
    <x v="1"/>
    <x v="1"/>
    <x v="1"/>
    <x v="0"/>
    <x v="356"/>
    <n v="1"/>
    <x v="1"/>
  </r>
  <r>
    <n v="1358"/>
    <n v="18"/>
    <n v="1"/>
    <x v="0"/>
    <x v="2"/>
    <x v="1"/>
    <x v="357"/>
    <x v="22"/>
    <x v="1"/>
    <x v="3"/>
    <x v="0"/>
    <x v="1"/>
    <x v="1"/>
    <x v="0"/>
    <x v="357"/>
    <n v="1"/>
    <x v="1"/>
  </r>
  <r>
    <n v="1359"/>
    <n v="15"/>
    <n v="1"/>
    <x v="0"/>
    <x v="0"/>
    <x v="0"/>
    <x v="358"/>
    <x v="17"/>
    <x v="1"/>
    <x v="0"/>
    <x v="0"/>
    <x v="0"/>
    <x v="0"/>
    <x v="0"/>
    <x v="358"/>
    <n v="1"/>
    <x v="1"/>
  </r>
  <r>
    <n v="1360"/>
    <n v="17"/>
    <n v="0"/>
    <x v="1"/>
    <x v="2"/>
    <x v="0"/>
    <x v="359"/>
    <x v="8"/>
    <x v="1"/>
    <x v="0"/>
    <x v="0"/>
    <x v="0"/>
    <x v="1"/>
    <x v="0"/>
    <x v="359"/>
    <n v="4"/>
    <x v="2"/>
  </r>
  <r>
    <n v="1361"/>
    <n v="18"/>
    <n v="0"/>
    <x v="1"/>
    <x v="0"/>
    <x v="0"/>
    <x v="360"/>
    <x v="27"/>
    <x v="1"/>
    <x v="3"/>
    <x v="1"/>
    <x v="0"/>
    <x v="1"/>
    <x v="0"/>
    <x v="360"/>
    <n v="3"/>
    <x v="3"/>
  </r>
  <r>
    <n v="1362"/>
    <n v="15"/>
    <n v="1"/>
    <x v="0"/>
    <x v="0"/>
    <x v="2"/>
    <x v="361"/>
    <x v="11"/>
    <x v="1"/>
    <x v="1"/>
    <x v="1"/>
    <x v="0"/>
    <x v="1"/>
    <x v="1"/>
    <x v="361"/>
    <n v="3"/>
    <x v="3"/>
  </r>
  <r>
    <n v="1363"/>
    <n v="15"/>
    <n v="1"/>
    <x v="0"/>
    <x v="3"/>
    <x v="0"/>
    <x v="362"/>
    <x v="13"/>
    <x v="0"/>
    <x v="4"/>
    <x v="0"/>
    <x v="0"/>
    <x v="1"/>
    <x v="0"/>
    <x v="362"/>
    <n v="4"/>
    <x v="2"/>
  </r>
  <r>
    <n v="1364"/>
    <n v="16"/>
    <n v="0"/>
    <x v="1"/>
    <x v="0"/>
    <x v="2"/>
    <x v="363"/>
    <x v="1"/>
    <x v="0"/>
    <x v="3"/>
    <x v="0"/>
    <x v="0"/>
    <x v="0"/>
    <x v="0"/>
    <x v="363"/>
    <n v="0"/>
    <x v="4"/>
  </r>
  <r>
    <n v="1365"/>
    <n v="17"/>
    <n v="0"/>
    <x v="1"/>
    <x v="0"/>
    <x v="0"/>
    <x v="364"/>
    <x v="12"/>
    <x v="1"/>
    <x v="2"/>
    <x v="1"/>
    <x v="0"/>
    <x v="0"/>
    <x v="0"/>
    <x v="364"/>
    <n v="4"/>
    <x v="2"/>
  </r>
  <r>
    <n v="1366"/>
    <n v="17"/>
    <n v="1"/>
    <x v="0"/>
    <x v="1"/>
    <x v="1"/>
    <x v="365"/>
    <x v="9"/>
    <x v="1"/>
    <x v="3"/>
    <x v="1"/>
    <x v="1"/>
    <x v="1"/>
    <x v="1"/>
    <x v="365"/>
    <n v="4"/>
    <x v="2"/>
  </r>
  <r>
    <n v="1367"/>
    <n v="16"/>
    <n v="1"/>
    <x v="0"/>
    <x v="1"/>
    <x v="1"/>
    <x v="366"/>
    <x v="18"/>
    <x v="1"/>
    <x v="4"/>
    <x v="0"/>
    <x v="0"/>
    <x v="1"/>
    <x v="0"/>
    <x v="366"/>
    <n v="3"/>
    <x v="3"/>
  </r>
  <r>
    <n v="1368"/>
    <n v="16"/>
    <n v="0"/>
    <x v="1"/>
    <x v="0"/>
    <x v="1"/>
    <x v="367"/>
    <x v="29"/>
    <x v="0"/>
    <x v="1"/>
    <x v="0"/>
    <x v="1"/>
    <x v="1"/>
    <x v="0"/>
    <x v="367"/>
    <n v="4"/>
    <x v="2"/>
  </r>
  <r>
    <n v="1369"/>
    <n v="17"/>
    <n v="1"/>
    <x v="0"/>
    <x v="0"/>
    <x v="2"/>
    <x v="368"/>
    <x v="16"/>
    <x v="0"/>
    <x v="1"/>
    <x v="0"/>
    <x v="0"/>
    <x v="1"/>
    <x v="0"/>
    <x v="368"/>
    <n v="4"/>
    <x v="2"/>
  </r>
  <r>
    <n v="1370"/>
    <n v="17"/>
    <n v="0"/>
    <x v="1"/>
    <x v="0"/>
    <x v="0"/>
    <x v="369"/>
    <x v="18"/>
    <x v="0"/>
    <x v="2"/>
    <x v="1"/>
    <x v="0"/>
    <x v="1"/>
    <x v="1"/>
    <x v="369"/>
    <n v="3"/>
    <x v="3"/>
  </r>
  <r>
    <n v="1371"/>
    <n v="18"/>
    <n v="0"/>
    <x v="1"/>
    <x v="2"/>
    <x v="0"/>
    <x v="370"/>
    <x v="2"/>
    <x v="1"/>
    <x v="2"/>
    <x v="0"/>
    <x v="0"/>
    <x v="1"/>
    <x v="0"/>
    <x v="370"/>
    <n v="4"/>
    <x v="2"/>
  </r>
  <r>
    <n v="1372"/>
    <n v="18"/>
    <n v="0"/>
    <x v="1"/>
    <x v="0"/>
    <x v="1"/>
    <x v="371"/>
    <x v="6"/>
    <x v="1"/>
    <x v="0"/>
    <x v="0"/>
    <x v="0"/>
    <x v="0"/>
    <x v="0"/>
    <x v="371"/>
    <n v="4"/>
    <x v="2"/>
  </r>
  <r>
    <n v="1373"/>
    <n v="16"/>
    <n v="0"/>
    <x v="1"/>
    <x v="0"/>
    <x v="1"/>
    <x v="372"/>
    <x v="18"/>
    <x v="1"/>
    <x v="4"/>
    <x v="0"/>
    <x v="0"/>
    <x v="1"/>
    <x v="0"/>
    <x v="372"/>
    <n v="3"/>
    <x v="3"/>
  </r>
  <r>
    <n v="1374"/>
    <n v="18"/>
    <n v="1"/>
    <x v="0"/>
    <x v="3"/>
    <x v="0"/>
    <x v="373"/>
    <x v="8"/>
    <x v="1"/>
    <x v="2"/>
    <x v="0"/>
    <x v="0"/>
    <x v="1"/>
    <x v="1"/>
    <x v="373"/>
    <n v="3"/>
    <x v="3"/>
  </r>
  <r>
    <n v="1375"/>
    <n v="15"/>
    <n v="1"/>
    <x v="0"/>
    <x v="2"/>
    <x v="0"/>
    <x v="374"/>
    <x v="6"/>
    <x v="0"/>
    <x v="0"/>
    <x v="1"/>
    <x v="0"/>
    <x v="1"/>
    <x v="0"/>
    <x v="374"/>
    <n v="4"/>
    <x v="2"/>
  </r>
  <r>
    <n v="1376"/>
    <n v="18"/>
    <n v="0"/>
    <x v="1"/>
    <x v="0"/>
    <x v="1"/>
    <x v="375"/>
    <x v="18"/>
    <x v="0"/>
    <x v="1"/>
    <x v="1"/>
    <x v="0"/>
    <x v="1"/>
    <x v="0"/>
    <x v="375"/>
    <n v="3"/>
    <x v="3"/>
  </r>
  <r>
    <n v="1377"/>
    <n v="18"/>
    <n v="0"/>
    <x v="1"/>
    <x v="2"/>
    <x v="0"/>
    <x v="376"/>
    <x v="3"/>
    <x v="1"/>
    <x v="3"/>
    <x v="0"/>
    <x v="1"/>
    <x v="1"/>
    <x v="0"/>
    <x v="376"/>
    <n v="2"/>
    <x v="0"/>
  </r>
  <r>
    <n v="1378"/>
    <n v="15"/>
    <n v="0"/>
    <x v="1"/>
    <x v="2"/>
    <x v="4"/>
    <x v="377"/>
    <x v="7"/>
    <x v="1"/>
    <x v="1"/>
    <x v="1"/>
    <x v="0"/>
    <x v="1"/>
    <x v="0"/>
    <x v="377"/>
    <n v="2"/>
    <x v="0"/>
  </r>
  <r>
    <n v="1379"/>
    <n v="16"/>
    <n v="0"/>
    <x v="1"/>
    <x v="0"/>
    <x v="1"/>
    <x v="378"/>
    <x v="5"/>
    <x v="1"/>
    <x v="2"/>
    <x v="0"/>
    <x v="0"/>
    <x v="0"/>
    <x v="0"/>
    <x v="378"/>
    <n v="3"/>
    <x v="3"/>
  </r>
  <r>
    <n v="1380"/>
    <n v="15"/>
    <n v="0"/>
    <x v="1"/>
    <x v="0"/>
    <x v="0"/>
    <x v="379"/>
    <x v="5"/>
    <x v="0"/>
    <x v="2"/>
    <x v="1"/>
    <x v="0"/>
    <x v="1"/>
    <x v="0"/>
    <x v="379"/>
    <n v="2"/>
    <x v="0"/>
  </r>
  <r>
    <n v="1381"/>
    <n v="18"/>
    <n v="1"/>
    <x v="0"/>
    <x v="1"/>
    <x v="1"/>
    <x v="380"/>
    <x v="0"/>
    <x v="1"/>
    <x v="0"/>
    <x v="1"/>
    <x v="1"/>
    <x v="1"/>
    <x v="1"/>
    <x v="380"/>
    <n v="2"/>
    <x v="0"/>
  </r>
  <r>
    <n v="1382"/>
    <n v="16"/>
    <n v="1"/>
    <x v="0"/>
    <x v="0"/>
    <x v="3"/>
    <x v="381"/>
    <x v="6"/>
    <x v="1"/>
    <x v="1"/>
    <x v="1"/>
    <x v="0"/>
    <x v="1"/>
    <x v="0"/>
    <x v="381"/>
    <n v="4"/>
    <x v="2"/>
  </r>
  <r>
    <n v="1383"/>
    <n v="18"/>
    <n v="1"/>
    <x v="0"/>
    <x v="2"/>
    <x v="1"/>
    <x v="382"/>
    <x v="17"/>
    <x v="1"/>
    <x v="0"/>
    <x v="1"/>
    <x v="0"/>
    <x v="1"/>
    <x v="1"/>
    <x v="382"/>
    <n v="2"/>
    <x v="0"/>
  </r>
  <r>
    <n v="1384"/>
    <n v="15"/>
    <n v="1"/>
    <x v="0"/>
    <x v="0"/>
    <x v="1"/>
    <x v="383"/>
    <x v="16"/>
    <x v="1"/>
    <x v="2"/>
    <x v="0"/>
    <x v="0"/>
    <x v="1"/>
    <x v="0"/>
    <x v="383"/>
    <n v="4"/>
    <x v="2"/>
  </r>
  <r>
    <n v="1385"/>
    <n v="15"/>
    <n v="0"/>
    <x v="1"/>
    <x v="0"/>
    <x v="1"/>
    <x v="384"/>
    <x v="28"/>
    <x v="0"/>
    <x v="1"/>
    <x v="1"/>
    <x v="0"/>
    <x v="1"/>
    <x v="0"/>
    <x v="384"/>
    <n v="4"/>
    <x v="2"/>
  </r>
  <r>
    <n v="1386"/>
    <n v="18"/>
    <n v="0"/>
    <x v="1"/>
    <x v="0"/>
    <x v="0"/>
    <x v="385"/>
    <x v="24"/>
    <x v="1"/>
    <x v="2"/>
    <x v="0"/>
    <x v="0"/>
    <x v="1"/>
    <x v="0"/>
    <x v="385"/>
    <n v="2"/>
    <x v="0"/>
  </r>
  <r>
    <n v="1387"/>
    <n v="17"/>
    <n v="0"/>
    <x v="1"/>
    <x v="0"/>
    <x v="0"/>
    <x v="386"/>
    <x v="14"/>
    <x v="1"/>
    <x v="3"/>
    <x v="0"/>
    <x v="0"/>
    <x v="1"/>
    <x v="0"/>
    <x v="386"/>
    <n v="2"/>
    <x v="0"/>
  </r>
  <r>
    <n v="1388"/>
    <n v="17"/>
    <n v="0"/>
    <x v="1"/>
    <x v="0"/>
    <x v="0"/>
    <x v="387"/>
    <x v="0"/>
    <x v="1"/>
    <x v="3"/>
    <x v="0"/>
    <x v="0"/>
    <x v="0"/>
    <x v="0"/>
    <x v="387"/>
    <n v="2"/>
    <x v="0"/>
  </r>
  <r>
    <n v="1389"/>
    <n v="15"/>
    <n v="0"/>
    <x v="1"/>
    <x v="0"/>
    <x v="4"/>
    <x v="388"/>
    <x v="4"/>
    <x v="1"/>
    <x v="0"/>
    <x v="0"/>
    <x v="0"/>
    <x v="1"/>
    <x v="0"/>
    <x v="388"/>
    <n v="4"/>
    <x v="2"/>
  </r>
  <r>
    <n v="1390"/>
    <n v="15"/>
    <n v="1"/>
    <x v="0"/>
    <x v="1"/>
    <x v="4"/>
    <x v="389"/>
    <x v="12"/>
    <x v="1"/>
    <x v="2"/>
    <x v="1"/>
    <x v="0"/>
    <x v="1"/>
    <x v="1"/>
    <x v="389"/>
    <n v="4"/>
    <x v="2"/>
  </r>
  <r>
    <n v="1391"/>
    <n v="17"/>
    <n v="0"/>
    <x v="1"/>
    <x v="3"/>
    <x v="0"/>
    <x v="390"/>
    <x v="5"/>
    <x v="1"/>
    <x v="3"/>
    <x v="0"/>
    <x v="0"/>
    <x v="1"/>
    <x v="0"/>
    <x v="390"/>
    <n v="3"/>
    <x v="3"/>
  </r>
  <r>
    <n v="1392"/>
    <n v="17"/>
    <n v="1"/>
    <x v="0"/>
    <x v="1"/>
    <x v="2"/>
    <x v="391"/>
    <x v="7"/>
    <x v="1"/>
    <x v="0"/>
    <x v="1"/>
    <x v="0"/>
    <x v="1"/>
    <x v="0"/>
    <x v="391"/>
    <n v="2"/>
    <x v="0"/>
  </r>
  <r>
    <n v="1393"/>
    <n v="18"/>
    <n v="1"/>
    <x v="0"/>
    <x v="1"/>
    <x v="2"/>
    <x v="392"/>
    <x v="29"/>
    <x v="0"/>
    <x v="1"/>
    <x v="1"/>
    <x v="0"/>
    <x v="1"/>
    <x v="0"/>
    <x v="392"/>
    <n v="4"/>
    <x v="2"/>
  </r>
  <r>
    <n v="1394"/>
    <n v="18"/>
    <n v="1"/>
    <x v="0"/>
    <x v="0"/>
    <x v="4"/>
    <x v="393"/>
    <x v="16"/>
    <x v="1"/>
    <x v="1"/>
    <x v="1"/>
    <x v="1"/>
    <x v="1"/>
    <x v="0"/>
    <x v="393"/>
    <n v="4"/>
    <x v="2"/>
  </r>
  <r>
    <n v="1395"/>
    <n v="17"/>
    <n v="1"/>
    <x v="0"/>
    <x v="3"/>
    <x v="0"/>
    <x v="394"/>
    <x v="2"/>
    <x v="1"/>
    <x v="1"/>
    <x v="0"/>
    <x v="0"/>
    <x v="1"/>
    <x v="0"/>
    <x v="394"/>
    <n v="4"/>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3606292-6B70-4906-AF73-25F76E7AEA05}" name="Gender/Ethics/gpa"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Ethicity" colHeaderCaption="Gender">
  <location ref="F2:I8" firstHeaderRow="1" firstDataRow="2" firstDataCol="1"/>
  <pivotFields count="21">
    <pivotField showAll="0"/>
    <pivotField showAll="0"/>
    <pivotField showAll="0"/>
    <pivotField axis="axisCol" showAll="0">
      <items count="3">
        <item x="1"/>
        <item x="0"/>
        <item t="default"/>
      </items>
    </pivotField>
    <pivotField axis="axisRow" showAll="0">
      <items count="5">
        <item x="0"/>
        <item x="2"/>
        <item x="1"/>
        <item x="3"/>
        <item t="default"/>
      </items>
    </pivotField>
    <pivotField showAll="0">
      <items count="6">
        <item x="4"/>
        <item x="1"/>
        <item x="0"/>
        <item x="2"/>
        <item x="3"/>
        <item t="default"/>
      </items>
    </pivotField>
    <pivotField numFmtId="164" showAll="0">
      <items count="396">
        <item x="87"/>
        <item x="54"/>
        <item x="301"/>
        <item x="336"/>
        <item x="258"/>
        <item x="97"/>
        <item x="215"/>
        <item x="133"/>
        <item x="393"/>
        <item x="295"/>
        <item x="140"/>
        <item x="128"/>
        <item x="175"/>
        <item x="81"/>
        <item x="56"/>
        <item x="369"/>
        <item x="69"/>
        <item x="160"/>
        <item x="80"/>
        <item x="105"/>
        <item x="391"/>
        <item x="343"/>
        <item x="365"/>
        <item x="219"/>
        <item x="224"/>
        <item x="138"/>
        <item x="148"/>
        <item x="320"/>
        <item x="265"/>
        <item x="115"/>
        <item x="319"/>
        <item x="199"/>
        <item x="89"/>
        <item x="354"/>
        <item x="242"/>
        <item x="203"/>
        <item x="101"/>
        <item x="210"/>
        <item x="196"/>
        <item x="250"/>
        <item x="116"/>
        <item x="314"/>
        <item x="51"/>
        <item x="27"/>
        <item x="337"/>
        <item x="386"/>
        <item x="273"/>
        <item x="355"/>
        <item x="66"/>
        <item x="198"/>
        <item x="326"/>
        <item x="263"/>
        <item x="124"/>
        <item x="327"/>
        <item x="20"/>
        <item x="46"/>
        <item x="266"/>
        <item x="25"/>
        <item x="305"/>
        <item x="106"/>
        <item x="38"/>
        <item x="120"/>
        <item x="118"/>
        <item x="220"/>
        <item x="72"/>
        <item x="368"/>
        <item x="178"/>
        <item x="35"/>
        <item x="205"/>
        <item x="232"/>
        <item x="17"/>
        <item x="241"/>
        <item x="29"/>
        <item x="380"/>
        <item x="192"/>
        <item x="152"/>
        <item x="85"/>
        <item x="90"/>
        <item x="364"/>
        <item x="256"/>
        <item x="149"/>
        <item x="244"/>
        <item x="182"/>
        <item x="108"/>
        <item x="257"/>
        <item x="2"/>
        <item x="260"/>
        <item x="322"/>
        <item x="150"/>
        <item x="154"/>
        <item x="229"/>
        <item x="356"/>
        <item x="282"/>
        <item x="261"/>
        <item x="8"/>
        <item x="4"/>
        <item x="159"/>
        <item x="341"/>
        <item x="45"/>
        <item x="144"/>
        <item x="223"/>
        <item x="371"/>
        <item x="30"/>
        <item x="236"/>
        <item x="271"/>
        <item x="84"/>
        <item x="283"/>
        <item x="353"/>
        <item x="76"/>
        <item x="36"/>
        <item x="169"/>
        <item x="276"/>
        <item x="161"/>
        <item x="126"/>
        <item x="218"/>
        <item x="262"/>
        <item x="111"/>
        <item x="68"/>
        <item x="340"/>
        <item x="254"/>
        <item x="212"/>
        <item x="131"/>
        <item x="100"/>
        <item x="47"/>
        <item x="136"/>
        <item x="240"/>
        <item x="251"/>
        <item x="78"/>
        <item x="94"/>
        <item x="209"/>
        <item x="331"/>
        <item x="174"/>
        <item x="293"/>
        <item x="316"/>
        <item x="58"/>
        <item x="268"/>
        <item x="304"/>
        <item x="361"/>
        <item x="158"/>
        <item x="348"/>
        <item x="93"/>
        <item x="137"/>
        <item x="228"/>
        <item x="122"/>
        <item x="394"/>
        <item x="285"/>
        <item x="249"/>
        <item x="287"/>
        <item x="24"/>
        <item x="344"/>
        <item x="189"/>
        <item x="288"/>
        <item x="11"/>
        <item x="32"/>
        <item x="289"/>
        <item x="91"/>
        <item x="246"/>
        <item x="363"/>
        <item x="165"/>
        <item x="315"/>
        <item x="298"/>
        <item x="201"/>
        <item x="308"/>
        <item x="227"/>
        <item x="362"/>
        <item x="281"/>
        <item x="31"/>
        <item x="375"/>
        <item x="5"/>
        <item x="330"/>
        <item x="247"/>
        <item x="310"/>
        <item x="53"/>
        <item x="213"/>
        <item x="234"/>
        <item x="98"/>
        <item x="125"/>
        <item x="204"/>
        <item x="63"/>
        <item x="275"/>
        <item x="306"/>
        <item x="55"/>
        <item x="142"/>
        <item x="83"/>
        <item x="235"/>
        <item x="303"/>
        <item x="379"/>
        <item x="185"/>
        <item x="170"/>
        <item x="34"/>
        <item x="255"/>
        <item x="377"/>
        <item x="248"/>
        <item x="171"/>
        <item x="59"/>
        <item x="284"/>
        <item x="188"/>
        <item x="146"/>
        <item x="92"/>
        <item x="238"/>
        <item x="15"/>
        <item x="121"/>
        <item x="167"/>
        <item x="117"/>
        <item x="190"/>
        <item x="176"/>
        <item x="307"/>
        <item x="299"/>
        <item x="357"/>
        <item x="388"/>
        <item x="3"/>
        <item x="12"/>
        <item x="109"/>
        <item x="16"/>
        <item x="345"/>
        <item x="381"/>
        <item x="37"/>
        <item x="168"/>
        <item x="297"/>
        <item x="26"/>
        <item x="157"/>
        <item x="135"/>
        <item x="200"/>
        <item x="382"/>
        <item x="67"/>
        <item x="145"/>
        <item x="163"/>
        <item x="274"/>
        <item x="217"/>
        <item x="186"/>
        <item x="19"/>
        <item x="324"/>
        <item x="239"/>
        <item x="57"/>
        <item x="177"/>
        <item x="110"/>
        <item x="351"/>
        <item x="79"/>
        <item x="328"/>
        <item x="270"/>
        <item x="14"/>
        <item x="346"/>
        <item x="207"/>
        <item x="40"/>
        <item x="317"/>
        <item x="104"/>
        <item x="226"/>
        <item x="153"/>
        <item x="191"/>
        <item x="350"/>
        <item x="202"/>
        <item x="366"/>
        <item x="10"/>
        <item x="233"/>
        <item x="312"/>
        <item x="277"/>
        <item x="197"/>
        <item x="13"/>
        <item x="103"/>
        <item x="332"/>
        <item x="280"/>
        <item x="338"/>
        <item x="39"/>
        <item x="349"/>
        <item x="60"/>
        <item x="292"/>
        <item x="107"/>
        <item x="378"/>
        <item x="195"/>
        <item x="264"/>
        <item x="123"/>
        <item x="352"/>
        <item x="96"/>
        <item x="267"/>
        <item x="214"/>
        <item x="291"/>
        <item x="272"/>
        <item x="162"/>
        <item x="141"/>
        <item x="62"/>
        <item x="376"/>
        <item x="252"/>
        <item x="385"/>
        <item x="253"/>
        <item x="300"/>
        <item x="70"/>
        <item x="323"/>
        <item x="230"/>
        <item x="86"/>
        <item x="194"/>
        <item x="309"/>
        <item x="222"/>
        <item x="208"/>
        <item x="245"/>
        <item x="225"/>
        <item x="166"/>
        <item x="359"/>
        <item x="147"/>
        <item x="373"/>
        <item x="184"/>
        <item x="172"/>
        <item x="269"/>
        <item x="243"/>
        <item x="41"/>
        <item x="82"/>
        <item x="387"/>
        <item x="114"/>
        <item x="347"/>
        <item x="384"/>
        <item x="151"/>
        <item x="102"/>
        <item x="179"/>
        <item x="21"/>
        <item x="1"/>
        <item x="7"/>
        <item x="370"/>
        <item x="6"/>
        <item x="342"/>
        <item x="360"/>
        <item x="132"/>
        <item x="33"/>
        <item x="88"/>
        <item x="313"/>
        <item x="216"/>
        <item x="383"/>
        <item x="73"/>
        <item x="18"/>
        <item x="294"/>
        <item x="64"/>
        <item x="339"/>
        <item x="392"/>
        <item x="237"/>
        <item x="372"/>
        <item x="325"/>
        <item x="130"/>
        <item x="290"/>
        <item x="334"/>
        <item x="358"/>
        <item x="113"/>
        <item x="187"/>
        <item x="321"/>
        <item x="74"/>
        <item x="50"/>
        <item x="318"/>
        <item x="155"/>
        <item x="71"/>
        <item x="61"/>
        <item x="296"/>
        <item x="278"/>
        <item x="302"/>
        <item x="99"/>
        <item x="183"/>
        <item x="127"/>
        <item x="389"/>
        <item x="221"/>
        <item x="48"/>
        <item x="259"/>
        <item x="193"/>
        <item x="77"/>
        <item x="65"/>
        <item x="43"/>
        <item x="129"/>
        <item x="286"/>
        <item x="75"/>
        <item x="390"/>
        <item x="9"/>
        <item x="333"/>
        <item x="22"/>
        <item x="28"/>
        <item x="42"/>
        <item x="173"/>
        <item x="156"/>
        <item x="164"/>
        <item x="374"/>
        <item x="181"/>
        <item x="44"/>
        <item x="329"/>
        <item x="23"/>
        <item x="52"/>
        <item x="112"/>
        <item x="143"/>
        <item x="311"/>
        <item x="95"/>
        <item x="134"/>
        <item x="231"/>
        <item x="49"/>
        <item x="211"/>
        <item x="119"/>
        <item x="180"/>
        <item x="206"/>
        <item x="367"/>
        <item x="139"/>
        <item x="0"/>
        <item x="335"/>
        <item x="279"/>
        <item t="default"/>
      </items>
    </pivotField>
    <pivotField showAll="0">
      <items count="13">
        <item x="0"/>
        <item x="1"/>
        <item x="2"/>
        <item x="3"/>
        <item x="4"/>
        <item x="5"/>
        <item x="6"/>
        <item x="7"/>
        <item x="8"/>
        <item x="9"/>
        <item x="10"/>
        <item x="11"/>
        <item t="default"/>
      </items>
    </pivotField>
    <pivotField showAll="0">
      <items count="3">
        <item x="1"/>
        <item x="0"/>
        <item t="default"/>
      </items>
    </pivotField>
    <pivotField showAll="0"/>
    <pivotField showAll="0"/>
    <pivotField showAll="0"/>
    <pivotField showAll="0"/>
    <pivotField showAll="0"/>
    <pivotField dataField="1" numFmtId="2"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s>
  <rowFields count="1">
    <field x="4"/>
  </rowFields>
  <rowItems count="5">
    <i>
      <x/>
    </i>
    <i>
      <x v="1"/>
    </i>
    <i>
      <x v="2"/>
    </i>
    <i>
      <x v="3"/>
    </i>
    <i t="grand">
      <x/>
    </i>
  </rowItems>
  <colFields count="1">
    <field x="3"/>
  </colFields>
  <colItems count="3">
    <i>
      <x/>
    </i>
    <i>
      <x v="1"/>
    </i>
    <i t="grand">
      <x/>
    </i>
  </colItems>
  <dataFields count="1">
    <dataField name="Average of GPA" fld="14" subtotal="average" baseField="4" baseItem="0" numFmtId="2"/>
  </dataFields>
  <chartFormats count="2">
    <chartFormat chart="3" format="4" series="1">
      <pivotArea type="data" outline="0" fieldPosition="0">
        <references count="2">
          <reference field="4294967294" count="1" selected="0">
            <x v="0"/>
          </reference>
          <reference field="3" count="1" selected="0">
            <x v="0"/>
          </reference>
        </references>
      </pivotArea>
    </chartFormat>
    <chartFormat chart="3"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3C3087E-72B5-4FB5-B05D-65F5B27BF57F}" name="Extra Curr/Gpa"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Extra Curricular">
  <location ref="K12:L15" firstHeaderRow="1" firstDataRow="1" firstDataCol="1"/>
  <pivotFields count="21">
    <pivotField showAll="0"/>
    <pivotField showAll="0"/>
    <pivotField showAll="0"/>
    <pivotField showAll="0">
      <items count="3">
        <item x="1"/>
        <item x="0"/>
        <item t="default"/>
      </items>
    </pivotField>
    <pivotField showAll="0">
      <items count="5">
        <item x="0"/>
        <item x="2"/>
        <item x="1"/>
        <item x="3"/>
        <item t="default"/>
      </items>
    </pivotField>
    <pivotField showAll="0">
      <items count="6">
        <item x="4"/>
        <item x="1"/>
        <item x="0"/>
        <item x="2"/>
        <item x="3"/>
        <item t="default"/>
      </items>
    </pivotField>
    <pivotField numFmtId="164" showAll="0">
      <items count="396">
        <item x="87"/>
        <item x="54"/>
        <item x="301"/>
        <item x="336"/>
        <item x="258"/>
        <item x="97"/>
        <item x="215"/>
        <item x="133"/>
        <item x="393"/>
        <item x="295"/>
        <item x="140"/>
        <item x="128"/>
        <item x="175"/>
        <item x="81"/>
        <item x="56"/>
        <item x="369"/>
        <item x="69"/>
        <item x="160"/>
        <item x="80"/>
        <item x="105"/>
        <item x="391"/>
        <item x="343"/>
        <item x="365"/>
        <item x="219"/>
        <item x="224"/>
        <item x="138"/>
        <item x="148"/>
        <item x="320"/>
        <item x="265"/>
        <item x="115"/>
        <item x="319"/>
        <item x="199"/>
        <item x="89"/>
        <item x="354"/>
        <item x="242"/>
        <item x="203"/>
        <item x="101"/>
        <item x="210"/>
        <item x="196"/>
        <item x="250"/>
        <item x="116"/>
        <item x="314"/>
        <item x="51"/>
        <item x="27"/>
        <item x="337"/>
        <item x="386"/>
        <item x="273"/>
        <item x="355"/>
        <item x="66"/>
        <item x="198"/>
        <item x="326"/>
        <item x="263"/>
        <item x="124"/>
        <item x="327"/>
        <item x="20"/>
        <item x="46"/>
        <item x="266"/>
        <item x="25"/>
        <item x="305"/>
        <item x="106"/>
        <item x="38"/>
        <item x="120"/>
        <item x="118"/>
        <item x="220"/>
        <item x="72"/>
        <item x="368"/>
        <item x="178"/>
        <item x="35"/>
        <item x="205"/>
        <item x="232"/>
        <item x="17"/>
        <item x="241"/>
        <item x="29"/>
        <item x="380"/>
        <item x="192"/>
        <item x="152"/>
        <item x="85"/>
        <item x="90"/>
        <item x="364"/>
        <item x="256"/>
        <item x="149"/>
        <item x="244"/>
        <item x="182"/>
        <item x="108"/>
        <item x="257"/>
        <item x="2"/>
        <item x="260"/>
        <item x="322"/>
        <item x="150"/>
        <item x="154"/>
        <item x="229"/>
        <item x="356"/>
        <item x="282"/>
        <item x="261"/>
        <item x="8"/>
        <item x="4"/>
        <item x="159"/>
        <item x="341"/>
        <item x="45"/>
        <item x="144"/>
        <item x="223"/>
        <item x="371"/>
        <item x="30"/>
        <item x="236"/>
        <item x="271"/>
        <item x="84"/>
        <item x="283"/>
        <item x="353"/>
        <item x="76"/>
        <item x="36"/>
        <item x="169"/>
        <item x="276"/>
        <item x="161"/>
        <item x="126"/>
        <item x="218"/>
        <item x="262"/>
        <item x="111"/>
        <item x="68"/>
        <item x="340"/>
        <item x="254"/>
        <item x="212"/>
        <item x="131"/>
        <item x="100"/>
        <item x="47"/>
        <item x="136"/>
        <item x="240"/>
        <item x="251"/>
        <item x="78"/>
        <item x="94"/>
        <item x="209"/>
        <item x="331"/>
        <item x="174"/>
        <item x="293"/>
        <item x="316"/>
        <item x="58"/>
        <item x="268"/>
        <item x="304"/>
        <item x="361"/>
        <item x="158"/>
        <item x="348"/>
        <item x="93"/>
        <item x="137"/>
        <item x="228"/>
        <item x="122"/>
        <item x="394"/>
        <item x="285"/>
        <item x="249"/>
        <item x="287"/>
        <item x="24"/>
        <item x="344"/>
        <item x="189"/>
        <item x="288"/>
        <item x="11"/>
        <item x="32"/>
        <item x="289"/>
        <item x="91"/>
        <item x="246"/>
        <item x="363"/>
        <item x="165"/>
        <item x="315"/>
        <item x="298"/>
        <item x="201"/>
        <item x="308"/>
        <item x="227"/>
        <item x="362"/>
        <item x="281"/>
        <item x="31"/>
        <item x="375"/>
        <item x="5"/>
        <item x="330"/>
        <item x="247"/>
        <item x="310"/>
        <item x="53"/>
        <item x="213"/>
        <item x="234"/>
        <item x="98"/>
        <item x="125"/>
        <item x="204"/>
        <item x="63"/>
        <item x="275"/>
        <item x="306"/>
        <item x="55"/>
        <item x="142"/>
        <item x="83"/>
        <item x="235"/>
        <item x="303"/>
        <item x="379"/>
        <item x="185"/>
        <item x="170"/>
        <item x="34"/>
        <item x="255"/>
        <item x="377"/>
        <item x="248"/>
        <item x="171"/>
        <item x="59"/>
        <item x="284"/>
        <item x="188"/>
        <item x="146"/>
        <item x="92"/>
        <item x="238"/>
        <item x="15"/>
        <item x="121"/>
        <item x="167"/>
        <item x="117"/>
        <item x="190"/>
        <item x="176"/>
        <item x="307"/>
        <item x="299"/>
        <item x="357"/>
        <item x="388"/>
        <item x="3"/>
        <item x="12"/>
        <item x="109"/>
        <item x="16"/>
        <item x="345"/>
        <item x="381"/>
        <item x="37"/>
        <item x="168"/>
        <item x="297"/>
        <item x="26"/>
        <item x="157"/>
        <item x="135"/>
        <item x="200"/>
        <item x="382"/>
        <item x="67"/>
        <item x="145"/>
        <item x="163"/>
        <item x="274"/>
        <item x="217"/>
        <item x="186"/>
        <item x="19"/>
        <item x="324"/>
        <item x="239"/>
        <item x="57"/>
        <item x="177"/>
        <item x="110"/>
        <item x="351"/>
        <item x="79"/>
        <item x="328"/>
        <item x="270"/>
        <item x="14"/>
        <item x="346"/>
        <item x="207"/>
        <item x="40"/>
        <item x="317"/>
        <item x="104"/>
        <item x="226"/>
        <item x="153"/>
        <item x="191"/>
        <item x="350"/>
        <item x="202"/>
        <item x="366"/>
        <item x="10"/>
        <item x="233"/>
        <item x="312"/>
        <item x="277"/>
        <item x="197"/>
        <item x="13"/>
        <item x="103"/>
        <item x="332"/>
        <item x="280"/>
        <item x="338"/>
        <item x="39"/>
        <item x="349"/>
        <item x="60"/>
        <item x="292"/>
        <item x="107"/>
        <item x="378"/>
        <item x="195"/>
        <item x="264"/>
        <item x="123"/>
        <item x="352"/>
        <item x="96"/>
        <item x="267"/>
        <item x="214"/>
        <item x="291"/>
        <item x="272"/>
        <item x="162"/>
        <item x="141"/>
        <item x="62"/>
        <item x="376"/>
        <item x="252"/>
        <item x="385"/>
        <item x="253"/>
        <item x="300"/>
        <item x="70"/>
        <item x="323"/>
        <item x="230"/>
        <item x="86"/>
        <item x="194"/>
        <item x="309"/>
        <item x="222"/>
        <item x="208"/>
        <item x="245"/>
        <item x="225"/>
        <item x="166"/>
        <item x="359"/>
        <item x="147"/>
        <item x="373"/>
        <item x="184"/>
        <item x="172"/>
        <item x="269"/>
        <item x="243"/>
        <item x="41"/>
        <item x="82"/>
        <item x="387"/>
        <item x="114"/>
        <item x="347"/>
        <item x="384"/>
        <item x="151"/>
        <item x="102"/>
        <item x="179"/>
        <item x="21"/>
        <item x="1"/>
        <item x="7"/>
        <item x="370"/>
        <item x="6"/>
        <item x="342"/>
        <item x="360"/>
        <item x="132"/>
        <item x="33"/>
        <item x="88"/>
        <item x="313"/>
        <item x="216"/>
        <item x="383"/>
        <item x="73"/>
        <item x="18"/>
        <item x="294"/>
        <item x="64"/>
        <item x="339"/>
        <item x="392"/>
        <item x="237"/>
        <item x="372"/>
        <item x="325"/>
        <item x="130"/>
        <item x="290"/>
        <item x="334"/>
        <item x="358"/>
        <item x="113"/>
        <item x="187"/>
        <item x="321"/>
        <item x="74"/>
        <item x="50"/>
        <item x="318"/>
        <item x="155"/>
        <item x="71"/>
        <item x="61"/>
        <item x="296"/>
        <item x="278"/>
        <item x="302"/>
        <item x="99"/>
        <item x="183"/>
        <item x="127"/>
        <item x="389"/>
        <item x="221"/>
        <item x="48"/>
        <item x="259"/>
        <item x="193"/>
        <item x="77"/>
        <item x="65"/>
        <item x="43"/>
        <item x="129"/>
        <item x="286"/>
        <item x="75"/>
        <item x="390"/>
        <item x="9"/>
        <item x="333"/>
        <item x="22"/>
        <item x="28"/>
        <item x="42"/>
        <item x="173"/>
        <item x="156"/>
        <item x="164"/>
        <item x="374"/>
        <item x="181"/>
        <item x="44"/>
        <item x="329"/>
        <item x="23"/>
        <item x="52"/>
        <item x="112"/>
        <item x="143"/>
        <item x="311"/>
        <item x="95"/>
        <item x="134"/>
        <item x="231"/>
        <item x="49"/>
        <item x="211"/>
        <item x="119"/>
        <item x="180"/>
        <item x="206"/>
        <item x="367"/>
        <item x="139"/>
        <item x="0"/>
        <item x="335"/>
        <item x="279"/>
        <item t="default"/>
      </items>
    </pivotField>
    <pivotField showAll="0">
      <items count="13">
        <item x="0"/>
        <item x="1"/>
        <item x="2"/>
        <item x="3"/>
        <item x="4"/>
        <item x="5"/>
        <item x="6"/>
        <item x="7"/>
        <item x="8"/>
        <item x="9"/>
        <item x="10"/>
        <item x="11"/>
        <item t="default"/>
      </items>
    </pivotField>
    <pivotField showAll="0">
      <items count="3">
        <item x="1"/>
        <item x="0"/>
        <item t="default"/>
      </items>
    </pivotField>
    <pivotField showAll="0"/>
    <pivotField showAll="0">
      <items count="3">
        <item x="0"/>
        <item x="1"/>
        <item t="default"/>
      </items>
    </pivotField>
    <pivotField axis="axisRow" showAll="0">
      <items count="3">
        <item sd="0" x="0"/>
        <item sd="0" x="1"/>
        <item t="default"/>
      </items>
    </pivotField>
    <pivotField axis="axisRow" showAll="0">
      <items count="3">
        <item sd="0" x="1"/>
        <item sd="0" x="0"/>
        <item t="default"/>
      </items>
    </pivotField>
    <pivotField axis="axisRow" showAll="0">
      <items count="3">
        <item x="0"/>
        <item x="1"/>
        <item t="default"/>
      </items>
    </pivotField>
    <pivotField dataField="1" numFmtId="2" showAll="0">
      <items count="396">
        <item x="87"/>
        <item x="67"/>
        <item x="2"/>
        <item x="215"/>
        <item x="211"/>
        <item x="90"/>
        <item x="175"/>
        <item x="36"/>
        <item x="158"/>
        <item x="35"/>
        <item x="394"/>
        <item x="57"/>
        <item x="22"/>
        <item x="308"/>
        <item x="371"/>
        <item x="285"/>
        <item x="21"/>
        <item x="32"/>
        <item x="18"/>
        <item x="354"/>
        <item x="81"/>
        <item x="156"/>
        <item x="316"/>
        <item x="333"/>
        <item x="266"/>
        <item x="207"/>
        <item x="198"/>
        <item x="267"/>
        <item x="199"/>
        <item x="118"/>
        <item x="370"/>
        <item x="310"/>
        <item x="104"/>
        <item x="295"/>
        <item x="231"/>
        <item x="312"/>
        <item x="277"/>
        <item x="362"/>
        <item x="99"/>
        <item x="95"/>
        <item x="71"/>
        <item x="98"/>
        <item x="54"/>
        <item x="224"/>
        <item x="313"/>
        <item x="55"/>
        <item x="264"/>
        <item x="142"/>
        <item x="227"/>
        <item x="171"/>
        <item x="230"/>
        <item x="106"/>
        <item x="115"/>
        <item x="226"/>
        <item x="393"/>
        <item x="185"/>
        <item x="195"/>
        <item x="367"/>
        <item x="276"/>
        <item x="322"/>
        <item x="59"/>
        <item x="102"/>
        <item x="206"/>
        <item x="33"/>
        <item x="170"/>
        <item x="96"/>
        <item x="208"/>
        <item x="78"/>
        <item x="122"/>
        <item x="79"/>
        <item x="269"/>
        <item x="148"/>
        <item x="328"/>
        <item x="153"/>
        <item x="343"/>
        <item x="254"/>
        <item x="66"/>
        <item x="381"/>
        <item x="247"/>
        <item x="141"/>
        <item x="40"/>
        <item x="88"/>
        <item x="37"/>
        <item x="350"/>
        <item x="177"/>
        <item x="300"/>
        <item x="152"/>
        <item x="309"/>
        <item x="368"/>
        <item x="34"/>
        <item x="204"/>
        <item x="273"/>
        <item x="85"/>
        <item x="339"/>
        <item x="137"/>
        <item x="159"/>
        <item x="248"/>
        <item x="392"/>
        <item x="188"/>
        <item x="250"/>
        <item x="201"/>
        <item x="315"/>
        <item x="237"/>
        <item x="261"/>
        <item x="100"/>
        <item x="216"/>
        <item x="197"/>
        <item x="4"/>
        <item x="161"/>
        <item x="169"/>
        <item x="68"/>
        <item x="302"/>
        <item x="116"/>
        <item x="15"/>
        <item x="56"/>
        <item x="7"/>
        <item x="326"/>
        <item x="189"/>
        <item x="129"/>
        <item x="388"/>
        <item x="17"/>
        <item x="348"/>
        <item x="232"/>
        <item x="340"/>
        <item x="238"/>
        <item x="263"/>
        <item x="228"/>
        <item x="287"/>
        <item x="83"/>
        <item x="218"/>
        <item x="107"/>
        <item x="219"/>
        <item x="262"/>
        <item x="108"/>
        <item x="24"/>
        <item x="103"/>
        <item x="29"/>
        <item x="12"/>
        <item x="190"/>
        <item x="86"/>
        <item x="39"/>
        <item x="258"/>
        <item x="271"/>
        <item x="174"/>
        <item x="280"/>
        <item x="279"/>
        <item x="11"/>
        <item x="52"/>
        <item x="239"/>
        <item x="383"/>
        <item x="268"/>
        <item x="374"/>
        <item x="165"/>
        <item x="325"/>
        <item x="282"/>
        <item x="234"/>
        <item x="241"/>
        <item x="200"/>
        <item x="301"/>
        <item x="209"/>
        <item x="270"/>
        <item x="53"/>
        <item x="364"/>
        <item x="246"/>
        <item x="47"/>
        <item x="220"/>
        <item x="181"/>
        <item x="359"/>
        <item x="30"/>
        <item x="299"/>
        <item x="13"/>
        <item x="341"/>
        <item x="365"/>
        <item x="151"/>
        <item x="23"/>
        <item x="384"/>
        <item x="225"/>
        <item x="117"/>
        <item x="31"/>
        <item x="290"/>
        <item x="389"/>
        <item x="291"/>
        <item x="75"/>
        <item x="345"/>
        <item x="60"/>
        <item x="286"/>
        <item x="244"/>
        <item x="344"/>
        <item x="327"/>
        <item x="113"/>
        <item x="213"/>
        <item x="337"/>
        <item x="222"/>
        <item x="303"/>
        <item x="51"/>
        <item x="233"/>
        <item x="297"/>
        <item x="361"/>
        <item x="203"/>
        <item x="128"/>
        <item x="214"/>
        <item x="143"/>
        <item x="105"/>
        <item x="3"/>
        <item x="80"/>
        <item x="306"/>
        <item x="48"/>
        <item x="130"/>
        <item x="245"/>
        <item x="135"/>
        <item x="251"/>
        <item x="77"/>
        <item x="192"/>
        <item x="366"/>
        <item x="278"/>
        <item x="27"/>
        <item x="10"/>
        <item x="338"/>
        <item x="265"/>
        <item x="274"/>
        <item x="319"/>
        <item x="120"/>
        <item x="205"/>
        <item x="114"/>
        <item x="74"/>
        <item x="375"/>
        <item x="136"/>
        <item x="272"/>
        <item x="355"/>
        <item x="360"/>
        <item x="372"/>
        <item x="289"/>
        <item x="89"/>
        <item x="191"/>
        <item x="16"/>
        <item x="62"/>
        <item x="139"/>
        <item x="93"/>
        <item x="193"/>
        <item x="168"/>
        <item x="221"/>
        <item x="167"/>
        <item x="260"/>
        <item x="147"/>
        <item x="373"/>
        <item x="61"/>
        <item x="329"/>
        <item x="283"/>
        <item x="182"/>
        <item x="172"/>
        <item x="84"/>
        <item x="369"/>
        <item x="164"/>
        <item x="378"/>
        <item x="331"/>
        <item x="63"/>
        <item x="243"/>
        <item x="305"/>
        <item x="19"/>
        <item x="14"/>
        <item x="255"/>
        <item x="133"/>
        <item x="144"/>
        <item x="390"/>
        <item x="49"/>
        <item x="235"/>
        <item x="45"/>
        <item x="380"/>
        <item x="101"/>
        <item x="82"/>
        <item x="166"/>
        <item x="334"/>
        <item x="293"/>
        <item x="178"/>
        <item x="288"/>
        <item x="97"/>
        <item x="72"/>
        <item x="46"/>
        <item x="376"/>
        <item x="242"/>
        <item x="109"/>
        <item x="125"/>
        <item x="217"/>
        <item x="275"/>
        <item x="298"/>
        <item x="323"/>
        <item x="58"/>
        <item x="346"/>
        <item x="223"/>
        <item x="41"/>
        <item x="321"/>
        <item x="155"/>
        <item x="249"/>
        <item x="385"/>
        <item x="145"/>
        <item x="382"/>
        <item x="163"/>
        <item x="187"/>
        <item x="173"/>
        <item x="94"/>
        <item x="257"/>
        <item x="320"/>
        <item x="76"/>
        <item x="138"/>
        <item x="6"/>
        <item x="176"/>
        <item x="194"/>
        <item x="20"/>
        <item x="332"/>
        <item x="157"/>
        <item x="150"/>
        <item x="42"/>
        <item x="318"/>
        <item x="127"/>
        <item x="379"/>
        <item x="349"/>
        <item x="210"/>
        <item x="314"/>
        <item x="28"/>
        <item x="391"/>
        <item x="351"/>
        <item x="149"/>
        <item x="43"/>
        <item x="352"/>
        <item x="8"/>
        <item x="342"/>
        <item x="252"/>
        <item x="0"/>
        <item x="50"/>
        <item x="70"/>
        <item x="26"/>
        <item x="186"/>
        <item x="281"/>
        <item x="202"/>
        <item x="121"/>
        <item x="387"/>
        <item x="25"/>
        <item x="324"/>
        <item x="236"/>
        <item x="336"/>
        <item x="184"/>
        <item x="377"/>
        <item x="386"/>
        <item x="335"/>
        <item x="38"/>
        <item x="131"/>
        <item x="1"/>
        <item x="304"/>
        <item x="154"/>
        <item x="5"/>
        <item x="296"/>
        <item x="240"/>
        <item x="112"/>
        <item x="294"/>
        <item x="123"/>
        <item x="347"/>
        <item x="196"/>
        <item x="253"/>
        <item x="140"/>
        <item x="256"/>
        <item x="311"/>
        <item x="134"/>
        <item x="353"/>
        <item x="180"/>
        <item x="317"/>
        <item x="357"/>
        <item x="110"/>
        <item x="212"/>
        <item x="65"/>
        <item x="292"/>
        <item x="284"/>
        <item x="183"/>
        <item x="179"/>
        <item x="69"/>
        <item x="73"/>
        <item x="229"/>
        <item x="64"/>
        <item x="358"/>
        <item x="356"/>
        <item x="160"/>
        <item x="330"/>
        <item x="259"/>
        <item x="124"/>
        <item x="91"/>
        <item x="126"/>
        <item x="111"/>
        <item x="92"/>
        <item x="9"/>
        <item x="132"/>
        <item x="146"/>
        <item x="119"/>
        <item x="307"/>
        <item x="162"/>
        <item x="363"/>
        <item x="44"/>
        <item t="default"/>
      </items>
    </pivotField>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s>
  <rowFields count="3">
    <field x="11"/>
    <field x="12"/>
    <field x="13"/>
  </rowFields>
  <rowItems count="3">
    <i>
      <x/>
    </i>
    <i>
      <x v="1"/>
    </i>
    <i t="grand">
      <x/>
    </i>
  </rowItems>
  <colItems count="1">
    <i/>
  </colItems>
  <dataFields count="1">
    <dataField name="Average of GPA" fld="14" subtotal="average" baseField="7"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CA635C7-5FA1-4064-9638-9D8408A15137}" name="parentSuport/tutoring/gpa"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Tutoring" colHeaderCaption="Parental Support">
  <location ref="K20:Q24" firstHeaderRow="1" firstDataRow="2" firstDataCol="1"/>
  <pivotFields count="21">
    <pivotField showAll="0"/>
    <pivotField showAll="0"/>
    <pivotField showAll="0"/>
    <pivotField showAll="0">
      <items count="3">
        <item x="1"/>
        <item x="0"/>
        <item t="default"/>
      </items>
    </pivotField>
    <pivotField showAll="0">
      <items count="5">
        <item x="0"/>
        <item x="2"/>
        <item x="1"/>
        <item x="3"/>
        <item t="default"/>
      </items>
    </pivotField>
    <pivotField showAll="0">
      <items count="6">
        <item x="4"/>
        <item x="1"/>
        <item x="0"/>
        <item x="2"/>
        <item x="3"/>
        <item t="default"/>
      </items>
    </pivotField>
    <pivotField numFmtId="164" showAll="0">
      <items count="396">
        <item x="87"/>
        <item x="54"/>
        <item x="301"/>
        <item x="336"/>
        <item x="258"/>
        <item x="97"/>
        <item x="215"/>
        <item x="133"/>
        <item x="393"/>
        <item x="295"/>
        <item x="140"/>
        <item x="128"/>
        <item x="175"/>
        <item x="81"/>
        <item x="56"/>
        <item x="369"/>
        <item x="69"/>
        <item x="160"/>
        <item x="80"/>
        <item x="105"/>
        <item x="391"/>
        <item x="343"/>
        <item x="365"/>
        <item x="219"/>
        <item x="224"/>
        <item x="138"/>
        <item x="148"/>
        <item x="320"/>
        <item x="265"/>
        <item x="115"/>
        <item x="319"/>
        <item x="199"/>
        <item x="89"/>
        <item x="354"/>
        <item x="242"/>
        <item x="203"/>
        <item x="101"/>
        <item x="210"/>
        <item x="196"/>
        <item x="250"/>
        <item x="116"/>
        <item x="314"/>
        <item x="51"/>
        <item x="27"/>
        <item x="337"/>
        <item x="386"/>
        <item x="273"/>
        <item x="355"/>
        <item x="66"/>
        <item x="198"/>
        <item x="326"/>
        <item x="263"/>
        <item x="124"/>
        <item x="327"/>
        <item x="20"/>
        <item x="46"/>
        <item x="266"/>
        <item x="25"/>
        <item x="305"/>
        <item x="106"/>
        <item x="38"/>
        <item x="120"/>
        <item x="118"/>
        <item x="220"/>
        <item x="72"/>
        <item x="368"/>
        <item x="178"/>
        <item x="35"/>
        <item x="205"/>
        <item x="232"/>
        <item x="17"/>
        <item x="241"/>
        <item x="29"/>
        <item x="380"/>
        <item x="192"/>
        <item x="152"/>
        <item x="85"/>
        <item x="90"/>
        <item x="364"/>
        <item x="256"/>
        <item x="149"/>
        <item x="244"/>
        <item x="182"/>
        <item x="108"/>
        <item x="257"/>
        <item x="2"/>
        <item x="260"/>
        <item x="322"/>
        <item x="150"/>
        <item x="154"/>
        <item x="229"/>
        <item x="356"/>
        <item x="282"/>
        <item x="261"/>
        <item x="8"/>
        <item x="4"/>
        <item x="159"/>
        <item x="341"/>
        <item x="45"/>
        <item x="144"/>
        <item x="223"/>
        <item x="371"/>
        <item x="30"/>
        <item x="236"/>
        <item x="271"/>
        <item x="84"/>
        <item x="283"/>
        <item x="353"/>
        <item x="76"/>
        <item x="36"/>
        <item x="169"/>
        <item x="276"/>
        <item x="161"/>
        <item x="126"/>
        <item x="218"/>
        <item x="262"/>
        <item x="111"/>
        <item x="68"/>
        <item x="340"/>
        <item x="254"/>
        <item x="212"/>
        <item x="131"/>
        <item x="100"/>
        <item x="47"/>
        <item x="136"/>
        <item x="240"/>
        <item x="251"/>
        <item x="78"/>
        <item x="94"/>
        <item x="209"/>
        <item x="331"/>
        <item x="174"/>
        <item x="293"/>
        <item x="316"/>
        <item x="58"/>
        <item x="268"/>
        <item x="304"/>
        <item x="361"/>
        <item x="158"/>
        <item x="348"/>
        <item x="93"/>
        <item x="137"/>
        <item x="228"/>
        <item x="122"/>
        <item x="394"/>
        <item x="285"/>
        <item x="249"/>
        <item x="287"/>
        <item x="24"/>
        <item x="344"/>
        <item x="189"/>
        <item x="288"/>
        <item x="11"/>
        <item x="32"/>
        <item x="289"/>
        <item x="91"/>
        <item x="246"/>
        <item x="363"/>
        <item x="165"/>
        <item x="315"/>
        <item x="298"/>
        <item x="201"/>
        <item x="308"/>
        <item x="227"/>
        <item x="362"/>
        <item x="281"/>
        <item x="31"/>
        <item x="375"/>
        <item x="5"/>
        <item x="330"/>
        <item x="247"/>
        <item x="310"/>
        <item x="53"/>
        <item x="213"/>
        <item x="234"/>
        <item x="98"/>
        <item x="125"/>
        <item x="204"/>
        <item x="63"/>
        <item x="275"/>
        <item x="306"/>
        <item x="55"/>
        <item x="142"/>
        <item x="83"/>
        <item x="235"/>
        <item x="303"/>
        <item x="379"/>
        <item x="185"/>
        <item x="170"/>
        <item x="34"/>
        <item x="255"/>
        <item x="377"/>
        <item x="248"/>
        <item x="171"/>
        <item x="59"/>
        <item x="284"/>
        <item x="188"/>
        <item x="146"/>
        <item x="92"/>
        <item x="238"/>
        <item x="15"/>
        <item x="121"/>
        <item x="167"/>
        <item x="117"/>
        <item x="190"/>
        <item x="176"/>
        <item x="307"/>
        <item x="299"/>
        <item x="357"/>
        <item x="388"/>
        <item x="3"/>
        <item x="12"/>
        <item x="109"/>
        <item x="16"/>
        <item x="345"/>
        <item x="381"/>
        <item x="37"/>
        <item x="168"/>
        <item x="297"/>
        <item x="26"/>
        <item x="157"/>
        <item x="135"/>
        <item x="200"/>
        <item x="382"/>
        <item x="67"/>
        <item x="145"/>
        <item x="163"/>
        <item x="274"/>
        <item x="217"/>
        <item x="186"/>
        <item x="19"/>
        <item x="324"/>
        <item x="239"/>
        <item x="57"/>
        <item x="177"/>
        <item x="110"/>
        <item x="351"/>
        <item x="79"/>
        <item x="328"/>
        <item x="270"/>
        <item x="14"/>
        <item x="346"/>
        <item x="207"/>
        <item x="40"/>
        <item x="317"/>
        <item x="104"/>
        <item x="226"/>
        <item x="153"/>
        <item x="191"/>
        <item x="350"/>
        <item x="202"/>
        <item x="366"/>
        <item x="10"/>
        <item x="233"/>
        <item x="312"/>
        <item x="277"/>
        <item x="197"/>
        <item x="13"/>
        <item x="103"/>
        <item x="332"/>
        <item x="280"/>
        <item x="338"/>
        <item x="39"/>
        <item x="349"/>
        <item x="60"/>
        <item x="292"/>
        <item x="107"/>
        <item x="378"/>
        <item x="195"/>
        <item x="264"/>
        <item x="123"/>
        <item x="352"/>
        <item x="96"/>
        <item x="267"/>
        <item x="214"/>
        <item x="291"/>
        <item x="272"/>
        <item x="162"/>
        <item x="141"/>
        <item x="62"/>
        <item x="376"/>
        <item x="252"/>
        <item x="385"/>
        <item x="253"/>
        <item x="300"/>
        <item x="70"/>
        <item x="323"/>
        <item x="230"/>
        <item x="86"/>
        <item x="194"/>
        <item x="309"/>
        <item x="222"/>
        <item x="208"/>
        <item x="245"/>
        <item x="225"/>
        <item x="166"/>
        <item x="359"/>
        <item x="147"/>
        <item x="373"/>
        <item x="184"/>
        <item x="172"/>
        <item x="269"/>
        <item x="243"/>
        <item x="41"/>
        <item x="82"/>
        <item x="387"/>
        <item x="114"/>
        <item x="347"/>
        <item x="384"/>
        <item x="151"/>
        <item x="102"/>
        <item x="179"/>
        <item x="21"/>
        <item x="1"/>
        <item x="7"/>
        <item x="370"/>
        <item x="6"/>
        <item x="342"/>
        <item x="360"/>
        <item x="132"/>
        <item x="33"/>
        <item x="88"/>
        <item x="313"/>
        <item x="216"/>
        <item x="383"/>
        <item x="73"/>
        <item x="18"/>
        <item x="294"/>
        <item x="64"/>
        <item x="339"/>
        <item x="392"/>
        <item x="237"/>
        <item x="372"/>
        <item x="325"/>
        <item x="130"/>
        <item x="290"/>
        <item x="334"/>
        <item x="358"/>
        <item x="113"/>
        <item x="187"/>
        <item x="321"/>
        <item x="74"/>
        <item x="50"/>
        <item x="318"/>
        <item x="155"/>
        <item x="71"/>
        <item x="61"/>
        <item x="296"/>
        <item x="278"/>
        <item x="302"/>
        <item x="99"/>
        <item x="183"/>
        <item x="127"/>
        <item x="389"/>
        <item x="221"/>
        <item x="48"/>
        <item x="259"/>
        <item x="193"/>
        <item x="77"/>
        <item x="65"/>
        <item x="43"/>
        <item x="129"/>
        <item x="286"/>
        <item x="75"/>
        <item x="390"/>
        <item x="9"/>
        <item x="333"/>
        <item x="22"/>
        <item x="28"/>
        <item x="42"/>
        <item x="173"/>
        <item x="156"/>
        <item x="164"/>
        <item x="374"/>
        <item x="181"/>
        <item x="44"/>
        <item x="329"/>
        <item x="23"/>
        <item x="52"/>
        <item x="112"/>
        <item x="143"/>
        <item x="311"/>
        <item x="95"/>
        <item x="134"/>
        <item x="231"/>
        <item x="49"/>
        <item x="211"/>
        <item x="119"/>
        <item x="180"/>
        <item x="206"/>
        <item x="367"/>
        <item x="139"/>
        <item x="0"/>
        <item x="335"/>
        <item x="279"/>
        <item t="default"/>
      </items>
    </pivotField>
    <pivotField showAll="0">
      <items count="13">
        <item x="0"/>
        <item x="1"/>
        <item x="2"/>
        <item x="3"/>
        <item x="4"/>
        <item x="5"/>
        <item x="6"/>
        <item x="7"/>
        <item x="8"/>
        <item x="9"/>
        <item x="10"/>
        <item x="11"/>
        <item t="default"/>
      </items>
    </pivotField>
    <pivotField axis="axisRow" showAll="0">
      <items count="3">
        <item x="1"/>
        <item x="0"/>
        <item t="default"/>
      </items>
    </pivotField>
    <pivotField axis="axisCol" showAll="0">
      <items count="6">
        <item x="4"/>
        <item x="1"/>
        <item x="0"/>
        <item x="2"/>
        <item x="3"/>
        <item t="default"/>
      </items>
    </pivotField>
    <pivotField showAll="0"/>
    <pivotField showAll="0"/>
    <pivotField showAll="0"/>
    <pivotField showAll="0"/>
    <pivotField dataField="1" numFmtId="2"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s>
  <rowFields count="1">
    <field x="8"/>
  </rowFields>
  <rowItems count="3">
    <i>
      <x/>
    </i>
    <i>
      <x v="1"/>
    </i>
    <i t="grand">
      <x/>
    </i>
  </rowItems>
  <colFields count="1">
    <field x="9"/>
  </colFields>
  <colItems count="6">
    <i>
      <x/>
    </i>
    <i>
      <x v="1"/>
    </i>
    <i>
      <x v="2"/>
    </i>
    <i>
      <x v="3"/>
    </i>
    <i>
      <x v="4"/>
    </i>
    <i t="grand">
      <x/>
    </i>
  </colItems>
  <dataFields count="1">
    <dataField name="Average of GPA" fld="14" subtotal="average" baseField="4"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78C4DE9-6194-4A82-9A35-78E4C773B201}" name="Absense/GPA"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Absense">
  <location ref="F20:H31" firstHeaderRow="0" firstDataRow="1" firstDataCol="1"/>
  <pivotFields count="21">
    <pivotField dataField="1" showAll="0"/>
    <pivotField showAll="0"/>
    <pivotField showAll="0"/>
    <pivotField showAll="0">
      <items count="3">
        <item x="1"/>
        <item x="0"/>
        <item t="default"/>
      </items>
    </pivotField>
    <pivotField showAll="0">
      <items count="5">
        <item x="0"/>
        <item x="2"/>
        <item x="1"/>
        <item x="3"/>
        <item t="default"/>
      </items>
    </pivotField>
    <pivotField showAll="0">
      <items count="6">
        <item x="4"/>
        <item x="1"/>
        <item x="0"/>
        <item x="2"/>
        <item x="3"/>
        <item t="default"/>
      </items>
    </pivotField>
    <pivotField numFmtId="164" showAll="0">
      <items count="396">
        <item x="87"/>
        <item x="54"/>
        <item x="301"/>
        <item x="336"/>
        <item x="258"/>
        <item x="97"/>
        <item x="215"/>
        <item x="133"/>
        <item x="393"/>
        <item x="295"/>
        <item x="140"/>
        <item x="128"/>
        <item x="175"/>
        <item x="81"/>
        <item x="56"/>
        <item x="369"/>
        <item x="69"/>
        <item x="160"/>
        <item x="80"/>
        <item x="105"/>
        <item x="391"/>
        <item x="343"/>
        <item x="365"/>
        <item x="219"/>
        <item x="224"/>
        <item x="138"/>
        <item x="148"/>
        <item x="320"/>
        <item x="265"/>
        <item x="115"/>
        <item x="319"/>
        <item x="199"/>
        <item x="89"/>
        <item x="354"/>
        <item x="242"/>
        <item x="203"/>
        <item x="101"/>
        <item x="210"/>
        <item x="196"/>
        <item x="250"/>
        <item x="116"/>
        <item x="314"/>
        <item x="51"/>
        <item x="27"/>
        <item x="337"/>
        <item x="386"/>
        <item x="273"/>
        <item x="355"/>
        <item x="66"/>
        <item x="198"/>
        <item x="326"/>
        <item x="263"/>
        <item x="124"/>
        <item x="327"/>
        <item x="20"/>
        <item x="46"/>
        <item x="266"/>
        <item x="25"/>
        <item x="305"/>
        <item x="106"/>
        <item x="38"/>
        <item x="120"/>
        <item x="118"/>
        <item x="220"/>
        <item x="72"/>
        <item x="368"/>
        <item x="178"/>
        <item x="35"/>
        <item x="205"/>
        <item x="232"/>
        <item x="17"/>
        <item x="241"/>
        <item x="29"/>
        <item x="380"/>
        <item x="192"/>
        <item x="152"/>
        <item x="85"/>
        <item x="90"/>
        <item x="364"/>
        <item x="256"/>
        <item x="149"/>
        <item x="244"/>
        <item x="182"/>
        <item x="108"/>
        <item x="257"/>
        <item x="2"/>
        <item x="260"/>
        <item x="322"/>
        <item x="150"/>
        <item x="154"/>
        <item x="229"/>
        <item x="356"/>
        <item x="282"/>
        <item x="261"/>
        <item x="8"/>
        <item x="4"/>
        <item x="159"/>
        <item x="341"/>
        <item x="45"/>
        <item x="144"/>
        <item x="223"/>
        <item x="371"/>
        <item x="30"/>
        <item x="236"/>
        <item x="271"/>
        <item x="84"/>
        <item x="283"/>
        <item x="353"/>
        <item x="76"/>
        <item x="36"/>
        <item x="169"/>
        <item x="276"/>
        <item x="161"/>
        <item x="126"/>
        <item x="218"/>
        <item x="262"/>
        <item x="111"/>
        <item x="68"/>
        <item x="340"/>
        <item x="254"/>
        <item x="212"/>
        <item x="131"/>
        <item x="100"/>
        <item x="47"/>
        <item x="136"/>
        <item x="240"/>
        <item x="251"/>
        <item x="78"/>
        <item x="94"/>
        <item x="209"/>
        <item x="331"/>
        <item x="174"/>
        <item x="293"/>
        <item x="316"/>
        <item x="58"/>
        <item x="268"/>
        <item x="304"/>
        <item x="361"/>
        <item x="158"/>
        <item x="348"/>
        <item x="93"/>
        <item x="137"/>
        <item x="228"/>
        <item x="122"/>
        <item x="394"/>
        <item x="285"/>
        <item x="249"/>
        <item x="287"/>
        <item x="24"/>
        <item x="344"/>
        <item x="189"/>
        <item x="288"/>
        <item x="11"/>
        <item x="32"/>
        <item x="289"/>
        <item x="91"/>
        <item x="246"/>
        <item x="363"/>
        <item x="165"/>
        <item x="315"/>
        <item x="298"/>
        <item x="201"/>
        <item x="308"/>
        <item x="227"/>
        <item x="362"/>
        <item x="281"/>
        <item x="31"/>
        <item x="375"/>
        <item x="5"/>
        <item x="330"/>
        <item x="247"/>
        <item x="310"/>
        <item x="53"/>
        <item x="213"/>
        <item x="234"/>
        <item x="98"/>
        <item x="125"/>
        <item x="204"/>
        <item x="63"/>
        <item x="275"/>
        <item x="306"/>
        <item x="55"/>
        <item x="142"/>
        <item x="83"/>
        <item x="235"/>
        <item x="303"/>
        <item x="379"/>
        <item x="185"/>
        <item x="170"/>
        <item x="34"/>
        <item x="255"/>
        <item x="377"/>
        <item x="248"/>
        <item x="171"/>
        <item x="59"/>
        <item x="284"/>
        <item x="188"/>
        <item x="146"/>
        <item x="92"/>
        <item x="238"/>
        <item x="15"/>
        <item x="121"/>
        <item x="167"/>
        <item x="117"/>
        <item x="190"/>
        <item x="176"/>
        <item x="307"/>
        <item x="299"/>
        <item x="357"/>
        <item x="388"/>
        <item x="3"/>
        <item x="12"/>
        <item x="109"/>
        <item x="16"/>
        <item x="345"/>
        <item x="381"/>
        <item x="37"/>
        <item x="168"/>
        <item x="297"/>
        <item x="26"/>
        <item x="157"/>
        <item x="135"/>
        <item x="200"/>
        <item x="382"/>
        <item x="67"/>
        <item x="145"/>
        <item x="163"/>
        <item x="274"/>
        <item x="217"/>
        <item x="186"/>
        <item x="19"/>
        <item x="324"/>
        <item x="239"/>
        <item x="57"/>
        <item x="177"/>
        <item x="110"/>
        <item x="351"/>
        <item x="79"/>
        <item x="328"/>
        <item x="270"/>
        <item x="14"/>
        <item x="346"/>
        <item x="207"/>
        <item x="40"/>
        <item x="317"/>
        <item x="104"/>
        <item x="226"/>
        <item x="153"/>
        <item x="191"/>
        <item x="350"/>
        <item x="202"/>
        <item x="366"/>
        <item x="10"/>
        <item x="233"/>
        <item x="312"/>
        <item x="277"/>
        <item x="197"/>
        <item x="13"/>
        <item x="103"/>
        <item x="332"/>
        <item x="280"/>
        <item x="338"/>
        <item x="39"/>
        <item x="349"/>
        <item x="60"/>
        <item x="292"/>
        <item x="107"/>
        <item x="378"/>
        <item x="195"/>
        <item x="264"/>
        <item x="123"/>
        <item x="352"/>
        <item x="96"/>
        <item x="267"/>
        <item x="214"/>
        <item x="291"/>
        <item x="272"/>
        <item x="162"/>
        <item x="141"/>
        <item x="62"/>
        <item x="376"/>
        <item x="252"/>
        <item x="385"/>
        <item x="253"/>
        <item x="300"/>
        <item x="70"/>
        <item x="323"/>
        <item x="230"/>
        <item x="86"/>
        <item x="194"/>
        <item x="309"/>
        <item x="222"/>
        <item x="208"/>
        <item x="245"/>
        <item x="225"/>
        <item x="166"/>
        <item x="359"/>
        <item x="147"/>
        <item x="373"/>
        <item x="184"/>
        <item x="172"/>
        <item x="269"/>
        <item x="243"/>
        <item x="41"/>
        <item x="82"/>
        <item x="387"/>
        <item x="114"/>
        <item x="347"/>
        <item x="384"/>
        <item x="151"/>
        <item x="102"/>
        <item x="179"/>
        <item x="21"/>
        <item x="1"/>
        <item x="7"/>
        <item x="370"/>
        <item x="6"/>
        <item x="342"/>
        <item x="360"/>
        <item x="132"/>
        <item x="33"/>
        <item x="88"/>
        <item x="313"/>
        <item x="216"/>
        <item x="383"/>
        <item x="73"/>
        <item x="18"/>
        <item x="294"/>
        <item x="64"/>
        <item x="339"/>
        <item x="392"/>
        <item x="237"/>
        <item x="372"/>
        <item x="325"/>
        <item x="130"/>
        <item x="290"/>
        <item x="334"/>
        <item x="358"/>
        <item x="113"/>
        <item x="187"/>
        <item x="321"/>
        <item x="74"/>
        <item x="50"/>
        <item x="318"/>
        <item x="155"/>
        <item x="71"/>
        <item x="61"/>
        <item x="296"/>
        <item x="278"/>
        <item x="302"/>
        <item x="99"/>
        <item x="183"/>
        <item x="127"/>
        <item x="389"/>
        <item x="221"/>
        <item x="48"/>
        <item x="259"/>
        <item x="193"/>
        <item x="77"/>
        <item x="65"/>
        <item x="43"/>
        <item x="129"/>
        <item x="286"/>
        <item x="75"/>
        <item x="390"/>
        <item x="9"/>
        <item x="333"/>
        <item x="22"/>
        <item x="28"/>
        <item x="42"/>
        <item x="173"/>
        <item x="156"/>
        <item x="164"/>
        <item x="374"/>
        <item x="181"/>
        <item x="44"/>
        <item x="329"/>
        <item x="23"/>
        <item x="52"/>
        <item x="112"/>
        <item x="143"/>
        <item x="311"/>
        <item x="95"/>
        <item x="134"/>
        <item x="231"/>
        <item x="49"/>
        <item x="211"/>
        <item x="119"/>
        <item x="180"/>
        <item x="206"/>
        <item x="367"/>
        <item x="139"/>
        <item x="0"/>
        <item x="335"/>
        <item x="279"/>
        <item t="default"/>
      </items>
    </pivotField>
    <pivotField axis="axisRow" showAll="0">
      <items count="13">
        <item x="0"/>
        <item x="1"/>
        <item x="2"/>
        <item x="3"/>
        <item x="4"/>
        <item x="5"/>
        <item x="6"/>
        <item x="7"/>
        <item x="8"/>
        <item x="9"/>
        <item x="10"/>
        <item x="11"/>
        <item t="default"/>
      </items>
    </pivotField>
    <pivotField showAll="0">
      <items count="3">
        <item x="1"/>
        <item x="0"/>
        <item t="default"/>
      </items>
    </pivotField>
    <pivotField showAll="0"/>
    <pivotField showAll="0"/>
    <pivotField showAll="0"/>
    <pivotField showAll="0"/>
    <pivotField showAll="0"/>
    <pivotField dataField="1" numFmtId="2" showAll="0">
      <items count="396">
        <item x="87"/>
        <item x="67"/>
        <item x="2"/>
        <item x="215"/>
        <item x="211"/>
        <item x="90"/>
        <item x="175"/>
        <item x="36"/>
        <item x="158"/>
        <item x="35"/>
        <item x="394"/>
        <item x="57"/>
        <item x="22"/>
        <item x="308"/>
        <item x="371"/>
        <item x="285"/>
        <item x="21"/>
        <item x="32"/>
        <item x="18"/>
        <item x="354"/>
        <item x="81"/>
        <item x="156"/>
        <item x="316"/>
        <item x="333"/>
        <item x="266"/>
        <item x="207"/>
        <item x="198"/>
        <item x="267"/>
        <item x="199"/>
        <item x="118"/>
        <item x="370"/>
        <item x="310"/>
        <item x="104"/>
        <item x="295"/>
        <item x="231"/>
        <item x="312"/>
        <item x="277"/>
        <item x="362"/>
        <item x="99"/>
        <item x="95"/>
        <item x="71"/>
        <item x="98"/>
        <item x="54"/>
        <item x="224"/>
        <item x="313"/>
        <item x="55"/>
        <item x="264"/>
        <item x="142"/>
        <item x="227"/>
        <item x="171"/>
        <item x="230"/>
        <item x="106"/>
        <item x="115"/>
        <item x="226"/>
        <item x="393"/>
        <item x="185"/>
        <item x="195"/>
        <item x="367"/>
        <item x="276"/>
        <item x="322"/>
        <item x="59"/>
        <item x="102"/>
        <item x="206"/>
        <item x="33"/>
        <item x="170"/>
        <item x="96"/>
        <item x="208"/>
        <item x="78"/>
        <item x="122"/>
        <item x="79"/>
        <item x="269"/>
        <item x="148"/>
        <item x="328"/>
        <item x="153"/>
        <item x="343"/>
        <item x="254"/>
        <item x="66"/>
        <item x="381"/>
        <item x="247"/>
        <item x="141"/>
        <item x="40"/>
        <item x="88"/>
        <item x="37"/>
        <item x="350"/>
        <item x="177"/>
        <item x="300"/>
        <item x="152"/>
        <item x="309"/>
        <item x="368"/>
        <item x="34"/>
        <item x="204"/>
        <item x="273"/>
        <item x="85"/>
        <item x="339"/>
        <item x="137"/>
        <item x="159"/>
        <item x="248"/>
        <item x="392"/>
        <item x="188"/>
        <item x="250"/>
        <item x="201"/>
        <item x="315"/>
        <item x="237"/>
        <item x="261"/>
        <item x="100"/>
        <item x="216"/>
        <item x="197"/>
        <item x="4"/>
        <item x="161"/>
        <item x="169"/>
        <item x="68"/>
        <item x="302"/>
        <item x="116"/>
        <item x="15"/>
        <item x="56"/>
        <item x="7"/>
        <item x="326"/>
        <item x="189"/>
        <item x="129"/>
        <item x="388"/>
        <item x="17"/>
        <item x="348"/>
        <item x="232"/>
        <item x="340"/>
        <item x="238"/>
        <item x="263"/>
        <item x="228"/>
        <item x="287"/>
        <item x="83"/>
        <item x="218"/>
        <item x="107"/>
        <item x="219"/>
        <item x="262"/>
        <item x="108"/>
        <item x="24"/>
        <item x="103"/>
        <item x="29"/>
        <item x="12"/>
        <item x="190"/>
        <item x="86"/>
        <item x="39"/>
        <item x="258"/>
        <item x="271"/>
        <item x="174"/>
        <item x="280"/>
        <item x="279"/>
        <item x="11"/>
        <item x="52"/>
        <item x="239"/>
        <item x="383"/>
        <item x="268"/>
        <item x="374"/>
        <item x="165"/>
        <item x="325"/>
        <item x="282"/>
        <item x="234"/>
        <item x="241"/>
        <item x="200"/>
        <item x="301"/>
        <item x="209"/>
        <item x="270"/>
        <item x="53"/>
        <item x="364"/>
        <item x="246"/>
        <item x="47"/>
        <item x="220"/>
        <item x="181"/>
        <item x="359"/>
        <item x="30"/>
        <item x="299"/>
        <item x="13"/>
        <item x="341"/>
        <item x="365"/>
        <item x="151"/>
        <item x="23"/>
        <item x="384"/>
        <item x="225"/>
        <item x="117"/>
        <item x="31"/>
        <item x="290"/>
        <item x="389"/>
        <item x="291"/>
        <item x="75"/>
        <item x="345"/>
        <item x="60"/>
        <item x="286"/>
        <item x="244"/>
        <item x="344"/>
        <item x="327"/>
        <item x="113"/>
        <item x="213"/>
        <item x="337"/>
        <item x="222"/>
        <item x="303"/>
        <item x="51"/>
        <item x="233"/>
        <item x="297"/>
        <item x="361"/>
        <item x="203"/>
        <item x="128"/>
        <item x="214"/>
        <item x="143"/>
        <item x="105"/>
        <item x="3"/>
        <item x="80"/>
        <item x="306"/>
        <item x="48"/>
        <item x="130"/>
        <item x="245"/>
        <item x="135"/>
        <item x="251"/>
        <item x="77"/>
        <item x="192"/>
        <item x="366"/>
        <item x="278"/>
        <item x="27"/>
        <item x="10"/>
        <item x="338"/>
        <item x="265"/>
        <item x="274"/>
        <item x="319"/>
        <item x="120"/>
        <item x="205"/>
        <item x="114"/>
        <item x="74"/>
        <item x="375"/>
        <item x="136"/>
        <item x="272"/>
        <item x="355"/>
        <item x="360"/>
        <item x="372"/>
        <item x="289"/>
        <item x="89"/>
        <item x="191"/>
        <item x="16"/>
        <item x="62"/>
        <item x="139"/>
        <item x="93"/>
        <item x="193"/>
        <item x="168"/>
        <item x="221"/>
        <item x="167"/>
        <item x="260"/>
        <item x="147"/>
        <item x="373"/>
        <item x="61"/>
        <item x="329"/>
        <item x="283"/>
        <item x="182"/>
        <item x="172"/>
        <item x="84"/>
        <item x="369"/>
        <item x="164"/>
        <item x="378"/>
        <item x="331"/>
        <item x="63"/>
        <item x="243"/>
        <item x="305"/>
        <item x="19"/>
        <item x="14"/>
        <item x="255"/>
        <item x="133"/>
        <item x="144"/>
        <item x="390"/>
        <item x="49"/>
        <item x="235"/>
        <item x="45"/>
        <item x="380"/>
        <item x="101"/>
        <item x="82"/>
        <item x="166"/>
        <item x="334"/>
        <item x="293"/>
        <item x="178"/>
        <item x="288"/>
        <item x="97"/>
        <item x="72"/>
        <item x="46"/>
        <item x="376"/>
        <item x="242"/>
        <item x="109"/>
        <item x="125"/>
        <item x="217"/>
        <item x="275"/>
        <item x="298"/>
        <item x="323"/>
        <item x="58"/>
        <item x="346"/>
        <item x="223"/>
        <item x="41"/>
        <item x="321"/>
        <item x="155"/>
        <item x="249"/>
        <item x="385"/>
        <item x="145"/>
        <item x="382"/>
        <item x="163"/>
        <item x="187"/>
        <item x="173"/>
        <item x="94"/>
        <item x="257"/>
        <item x="320"/>
        <item x="76"/>
        <item x="138"/>
        <item x="6"/>
        <item x="176"/>
        <item x="194"/>
        <item x="20"/>
        <item x="332"/>
        <item x="157"/>
        <item x="150"/>
        <item x="42"/>
        <item x="318"/>
        <item x="127"/>
        <item x="379"/>
        <item x="349"/>
        <item x="210"/>
        <item x="314"/>
        <item x="28"/>
        <item x="391"/>
        <item x="351"/>
        <item x="149"/>
        <item x="43"/>
        <item x="352"/>
        <item x="8"/>
        <item x="342"/>
        <item x="252"/>
        <item x="0"/>
        <item x="50"/>
        <item x="70"/>
        <item x="26"/>
        <item x="186"/>
        <item x="281"/>
        <item x="202"/>
        <item x="121"/>
        <item x="387"/>
        <item x="25"/>
        <item x="324"/>
        <item x="236"/>
        <item x="336"/>
        <item x="184"/>
        <item x="377"/>
        <item x="386"/>
        <item x="335"/>
        <item x="38"/>
        <item x="131"/>
        <item x="1"/>
        <item x="304"/>
        <item x="154"/>
        <item x="5"/>
        <item x="296"/>
        <item x="240"/>
        <item x="112"/>
        <item x="294"/>
        <item x="123"/>
        <item x="347"/>
        <item x="196"/>
        <item x="253"/>
        <item x="140"/>
        <item x="256"/>
        <item x="311"/>
        <item x="134"/>
        <item x="353"/>
        <item x="180"/>
        <item x="317"/>
        <item x="357"/>
        <item x="110"/>
        <item x="212"/>
        <item x="65"/>
        <item x="292"/>
        <item x="284"/>
        <item x="183"/>
        <item x="179"/>
        <item x="69"/>
        <item x="73"/>
        <item x="229"/>
        <item x="64"/>
        <item x="358"/>
        <item x="356"/>
        <item x="160"/>
        <item x="330"/>
        <item x="259"/>
        <item x="124"/>
        <item x="91"/>
        <item x="126"/>
        <item x="111"/>
        <item x="92"/>
        <item x="9"/>
        <item x="132"/>
        <item x="146"/>
        <item x="119"/>
        <item x="307"/>
        <item x="162"/>
        <item x="363"/>
        <item x="44"/>
        <item t="default"/>
      </items>
    </pivotField>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s>
  <rowFields count="1">
    <field x="7"/>
  </rowFields>
  <rowItems count="11">
    <i>
      <x v="1"/>
    </i>
    <i>
      <x v="2"/>
    </i>
    <i>
      <x v="3"/>
    </i>
    <i>
      <x v="4"/>
    </i>
    <i>
      <x v="5"/>
    </i>
    <i>
      <x v="6"/>
    </i>
    <i>
      <x v="7"/>
    </i>
    <i>
      <x v="8"/>
    </i>
    <i>
      <x v="9"/>
    </i>
    <i>
      <x v="10"/>
    </i>
    <i t="grand">
      <x/>
    </i>
  </rowItems>
  <colFields count="1">
    <field x="-2"/>
  </colFields>
  <colItems count="2">
    <i>
      <x/>
    </i>
    <i i="1">
      <x v="1"/>
    </i>
  </colItems>
  <dataFields count="2">
    <dataField name="Count of StudentID" fld="0" subtotal="count" baseField="14" baseItem="0"/>
    <dataField name="Average of GPA" fld="14" subtotal="average" baseField="7"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E103CC6-B952-48E4-8C8D-C6BD326BB6BC}" name="ParentalEDU/GPA"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rowHeaderCaption="Parental education">
  <location ref="F11:G17" firstHeaderRow="1" firstDataRow="1" firstDataCol="1"/>
  <pivotFields count="21">
    <pivotField showAll="0"/>
    <pivotField showAll="0"/>
    <pivotField showAll="0"/>
    <pivotField showAll="0">
      <items count="3">
        <item x="1"/>
        <item x="0"/>
        <item t="default"/>
      </items>
    </pivotField>
    <pivotField showAll="0">
      <items count="5">
        <item x="0"/>
        <item x="2"/>
        <item x="1"/>
        <item x="3"/>
        <item t="default"/>
      </items>
    </pivotField>
    <pivotField axis="axisRow" showAll="0">
      <items count="6">
        <item x="4"/>
        <item x="1"/>
        <item x="0"/>
        <item x="2"/>
        <item x="3"/>
        <item t="default"/>
      </items>
    </pivotField>
    <pivotField numFmtId="164" showAll="0">
      <items count="396">
        <item x="87"/>
        <item x="54"/>
        <item x="301"/>
        <item x="336"/>
        <item x="258"/>
        <item x="97"/>
        <item x="215"/>
        <item x="133"/>
        <item x="393"/>
        <item x="295"/>
        <item x="140"/>
        <item x="128"/>
        <item x="175"/>
        <item x="81"/>
        <item x="56"/>
        <item x="369"/>
        <item x="69"/>
        <item x="160"/>
        <item x="80"/>
        <item x="105"/>
        <item x="391"/>
        <item x="343"/>
        <item x="365"/>
        <item x="219"/>
        <item x="224"/>
        <item x="138"/>
        <item x="148"/>
        <item x="320"/>
        <item x="265"/>
        <item x="115"/>
        <item x="319"/>
        <item x="199"/>
        <item x="89"/>
        <item x="354"/>
        <item x="242"/>
        <item x="203"/>
        <item x="101"/>
        <item x="210"/>
        <item x="196"/>
        <item x="250"/>
        <item x="116"/>
        <item x="314"/>
        <item x="51"/>
        <item x="27"/>
        <item x="337"/>
        <item x="386"/>
        <item x="273"/>
        <item x="355"/>
        <item x="66"/>
        <item x="198"/>
        <item x="326"/>
        <item x="263"/>
        <item x="124"/>
        <item x="327"/>
        <item x="20"/>
        <item x="46"/>
        <item x="266"/>
        <item x="25"/>
        <item x="305"/>
        <item x="106"/>
        <item x="38"/>
        <item x="120"/>
        <item x="118"/>
        <item x="220"/>
        <item x="72"/>
        <item x="368"/>
        <item x="178"/>
        <item x="35"/>
        <item x="205"/>
        <item x="232"/>
        <item x="17"/>
        <item x="241"/>
        <item x="29"/>
        <item x="380"/>
        <item x="192"/>
        <item x="152"/>
        <item x="85"/>
        <item x="90"/>
        <item x="364"/>
        <item x="256"/>
        <item x="149"/>
        <item x="244"/>
        <item x="182"/>
        <item x="108"/>
        <item x="257"/>
        <item x="2"/>
        <item x="260"/>
        <item x="322"/>
        <item x="150"/>
        <item x="154"/>
        <item x="229"/>
        <item x="356"/>
        <item x="282"/>
        <item x="261"/>
        <item x="8"/>
        <item x="4"/>
        <item x="159"/>
        <item x="341"/>
        <item x="45"/>
        <item x="144"/>
        <item x="223"/>
        <item x="371"/>
        <item x="30"/>
        <item x="236"/>
        <item x="271"/>
        <item x="84"/>
        <item x="283"/>
        <item x="353"/>
        <item x="76"/>
        <item x="36"/>
        <item x="169"/>
        <item x="276"/>
        <item x="161"/>
        <item x="126"/>
        <item x="218"/>
        <item x="262"/>
        <item x="111"/>
        <item x="68"/>
        <item x="340"/>
        <item x="254"/>
        <item x="212"/>
        <item x="131"/>
        <item x="100"/>
        <item x="47"/>
        <item x="136"/>
        <item x="240"/>
        <item x="251"/>
        <item x="78"/>
        <item x="94"/>
        <item x="209"/>
        <item x="331"/>
        <item x="174"/>
        <item x="293"/>
        <item x="316"/>
        <item x="58"/>
        <item x="268"/>
        <item x="304"/>
        <item x="361"/>
        <item x="158"/>
        <item x="348"/>
        <item x="93"/>
        <item x="137"/>
        <item x="228"/>
        <item x="122"/>
        <item x="394"/>
        <item x="285"/>
        <item x="249"/>
        <item x="287"/>
        <item x="24"/>
        <item x="344"/>
        <item x="189"/>
        <item x="288"/>
        <item x="11"/>
        <item x="32"/>
        <item x="289"/>
        <item x="91"/>
        <item x="246"/>
        <item x="363"/>
        <item x="165"/>
        <item x="315"/>
        <item x="298"/>
        <item x="201"/>
        <item x="308"/>
        <item x="227"/>
        <item x="362"/>
        <item x="281"/>
        <item x="31"/>
        <item x="375"/>
        <item x="5"/>
        <item x="330"/>
        <item x="247"/>
        <item x="310"/>
        <item x="53"/>
        <item x="213"/>
        <item x="234"/>
        <item x="98"/>
        <item x="125"/>
        <item x="204"/>
        <item x="63"/>
        <item x="275"/>
        <item x="306"/>
        <item x="55"/>
        <item x="142"/>
        <item x="83"/>
        <item x="235"/>
        <item x="303"/>
        <item x="379"/>
        <item x="185"/>
        <item x="170"/>
        <item x="34"/>
        <item x="255"/>
        <item x="377"/>
        <item x="248"/>
        <item x="171"/>
        <item x="59"/>
        <item x="284"/>
        <item x="188"/>
        <item x="146"/>
        <item x="92"/>
        <item x="238"/>
        <item x="15"/>
        <item x="121"/>
        <item x="167"/>
        <item x="117"/>
        <item x="190"/>
        <item x="176"/>
        <item x="307"/>
        <item x="299"/>
        <item x="357"/>
        <item x="388"/>
        <item x="3"/>
        <item x="12"/>
        <item x="109"/>
        <item x="16"/>
        <item x="345"/>
        <item x="381"/>
        <item x="37"/>
        <item x="168"/>
        <item x="297"/>
        <item x="26"/>
        <item x="157"/>
        <item x="135"/>
        <item x="200"/>
        <item x="382"/>
        <item x="67"/>
        <item x="145"/>
        <item x="163"/>
        <item x="274"/>
        <item x="217"/>
        <item x="186"/>
        <item x="19"/>
        <item x="324"/>
        <item x="239"/>
        <item x="57"/>
        <item x="177"/>
        <item x="110"/>
        <item x="351"/>
        <item x="79"/>
        <item x="328"/>
        <item x="270"/>
        <item x="14"/>
        <item x="346"/>
        <item x="207"/>
        <item x="40"/>
        <item x="317"/>
        <item x="104"/>
        <item x="226"/>
        <item x="153"/>
        <item x="191"/>
        <item x="350"/>
        <item x="202"/>
        <item x="366"/>
        <item x="10"/>
        <item x="233"/>
        <item x="312"/>
        <item x="277"/>
        <item x="197"/>
        <item x="13"/>
        <item x="103"/>
        <item x="332"/>
        <item x="280"/>
        <item x="338"/>
        <item x="39"/>
        <item x="349"/>
        <item x="60"/>
        <item x="292"/>
        <item x="107"/>
        <item x="378"/>
        <item x="195"/>
        <item x="264"/>
        <item x="123"/>
        <item x="352"/>
        <item x="96"/>
        <item x="267"/>
        <item x="214"/>
        <item x="291"/>
        <item x="272"/>
        <item x="162"/>
        <item x="141"/>
        <item x="62"/>
        <item x="376"/>
        <item x="252"/>
        <item x="385"/>
        <item x="253"/>
        <item x="300"/>
        <item x="70"/>
        <item x="323"/>
        <item x="230"/>
        <item x="86"/>
        <item x="194"/>
        <item x="309"/>
        <item x="222"/>
        <item x="208"/>
        <item x="245"/>
        <item x="225"/>
        <item x="166"/>
        <item x="359"/>
        <item x="147"/>
        <item x="373"/>
        <item x="184"/>
        <item x="172"/>
        <item x="269"/>
        <item x="243"/>
        <item x="41"/>
        <item x="82"/>
        <item x="387"/>
        <item x="114"/>
        <item x="347"/>
        <item x="384"/>
        <item x="151"/>
        <item x="102"/>
        <item x="179"/>
        <item x="21"/>
        <item x="1"/>
        <item x="7"/>
        <item x="370"/>
        <item x="6"/>
        <item x="342"/>
        <item x="360"/>
        <item x="132"/>
        <item x="33"/>
        <item x="88"/>
        <item x="313"/>
        <item x="216"/>
        <item x="383"/>
        <item x="73"/>
        <item x="18"/>
        <item x="294"/>
        <item x="64"/>
        <item x="339"/>
        <item x="392"/>
        <item x="237"/>
        <item x="372"/>
        <item x="325"/>
        <item x="130"/>
        <item x="290"/>
        <item x="334"/>
        <item x="358"/>
        <item x="113"/>
        <item x="187"/>
        <item x="321"/>
        <item x="74"/>
        <item x="50"/>
        <item x="318"/>
        <item x="155"/>
        <item x="71"/>
        <item x="61"/>
        <item x="296"/>
        <item x="278"/>
        <item x="302"/>
        <item x="99"/>
        <item x="183"/>
        <item x="127"/>
        <item x="389"/>
        <item x="221"/>
        <item x="48"/>
        <item x="259"/>
        <item x="193"/>
        <item x="77"/>
        <item x="65"/>
        <item x="43"/>
        <item x="129"/>
        <item x="286"/>
        <item x="75"/>
        <item x="390"/>
        <item x="9"/>
        <item x="333"/>
        <item x="22"/>
        <item x="28"/>
        <item x="42"/>
        <item x="173"/>
        <item x="156"/>
        <item x="164"/>
        <item x="374"/>
        <item x="181"/>
        <item x="44"/>
        <item x="329"/>
        <item x="23"/>
        <item x="52"/>
        <item x="112"/>
        <item x="143"/>
        <item x="311"/>
        <item x="95"/>
        <item x="134"/>
        <item x="231"/>
        <item x="49"/>
        <item x="211"/>
        <item x="119"/>
        <item x="180"/>
        <item x="206"/>
        <item x="367"/>
        <item x="139"/>
        <item x="0"/>
        <item x="335"/>
        <item x="279"/>
        <item t="default"/>
      </items>
    </pivotField>
    <pivotField showAll="0">
      <items count="13">
        <item x="0"/>
        <item x="1"/>
        <item x="2"/>
        <item x="3"/>
        <item x="4"/>
        <item x="5"/>
        <item x="6"/>
        <item x="7"/>
        <item x="8"/>
        <item x="9"/>
        <item x="10"/>
        <item x="11"/>
        <item t="default"/>
      </items>
    </pivotField>
    <pivotField showAll="0">
      <items count="3">
        <item x="1"/>
        <item x="0"/>
        <item t="default"/>
      </items>
    </pivotField>
    <pivotField showAll="0"/>
    <pivotField showAll="0"/>
    <pivotField showAll="0"/>
    <pivotField showAll="0"/>
    <pivotField showAll="0"/>
    <pivotField dataField="1" numFmtId="2"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s>
  <rowFields count="1">
    <field x="5"/>
  </rowFields>
  <rowItems count="6">
    <i>
      <x/>
    </i>
    <i>
      <x v="1"/>
    </i>
    <i>
      <x v="2"/>
    </i>
    <i>
      <x v="3"/>
    </i>
    <i>
      <x v="4"/>
    </i>
    <i t="grand">
      <x/>
    </i>
  </rowItems>
  <colItems count="1">
    <i/>
  </colItems>
  <dataFields count="1">
    <dataField name="Average of GPA" fld="14" subtotal="average" baseField="5" baseItem="0" numFmtId="2"/>
  </dataFields>
  <chartFormats count="1">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FE26DD2-6018-4519-9900-3AA587A3D69E}" name="Total students by grad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rowHeaderCaption="Grade">
  <location ref="K2:L8" firstHeaderRow="1" firstDataRow="1" firstDataCol="1"/>
  <pivotFields count="21">
    <pivotField dataField="1" showAll="0"/>
    <pivotField showAll="0"/>
    <pivotField showAll="0"/>
    <pivotField showAll="0">
      <items count="3">
        <item x="1"/>
        <item x="0"/>
        <item t="default"/>
      </items>
    </pivotField>
    <pivotField showAll="0">
      <items count="5">
        <item x="0"/>
        <item x="2"/>
        <item x="1"/>
        <item x="3"/>
        <item t="default"/>
      </items>
    </pivotField>
    <pivotField showAll="0">
      <items count="6">
        <item x="4"/>
        <item x="1"/>
        <item x="0"/>
        <item x="2"/>
        <item x="3"/>
        <item t="default"/>
      </items>
    </pivotField>
    <pivotField numFmtId="164" showAll="0">
      <items count="396">
        <item x="87"/>
        <item x="54"/>
        <item x="301"/>
        <item x="336"/>
        <item x="258"/>
        <item x="97"/>
        <item x="215"/>
        <item x="133"/>
        <item x="393"/>
        <item x="295"/>
        <item x="140"/>
        <item x="128"/>
        <item x="175"/>
        <item x="81"/>
        <item x="56"/>
        <item x="369"/>
        <item x="69"/>
        <item x="160"/>
        <item x="80"/>
        <item x="105"/>
        <item x="391"/>
        <item x="343"/>
        <item x="365"/>
        <item x="219"/>
        <item x="224"/>
        <item x="138"/>
        <item x="148"/>
        <item x="320"/>
        <item x="265"/>
        <item x="115"/>
        <item x="319"/>
        <item x="199"/>
        <item x="89"/>
        <item x="354"/>
        <item x="242"/>
        <item x="203"/>
        <item x="101"/>
        <item x="210"/>
        <item x="196"/>
        <item x="250"/>
        <item x="116"/>
        <item x="314"/>
        <item x="51"/>
        <item x="27"/>
        <item x="337"/>
        <item x="386"/>
        <item x="273"/>
        <item x="355"/>
        <item x="66"/>
        <item x="198"/>
        <item x="326"/>
        <item x="263"/>
        <item x="124"/>
        <item x="327"/>
        <item x="20"/>
        <item x="46"/>
        <item x="266"/>
        <item x="25"/>
        <item x="305"/>
        <item x="106"/>
        <item x="38"/>
        <item x="120"/>
        <item x="118"/>
        <item x="220"/>
        <item x="72"/>
        <item x="368"/>
        <item x="178"/>
        <item x="35"/>
        <item x="205"/>
        <item x="232"/>
        <item x="17"/>
        <item x="241"/>
        <item x="29"/>
        <item x="380"/>
        <item x="192"/>
        <item x="152"/>
        <item x="85"/>
        <item x="90"/>
        <item x="364"/>
        <item x="256"/>
        <item x="149"/>
        <item x="244"/>
        <item x="182"/>
        <item x="108"/>
        <item x="257"/>
        <item x="2"/>
        <item x="260"/>
        <item x="322"/>
        <item x="150"/>
        <item x="154"/>
        <item x="229"/>
        <item x="356"/>
        <item x="282"/>
        <item x="261"/>
        <item x="8"/>
        <item x="4"/>
        <item x="159"/>
        <item x="341"/>
        <item x="45"/>
        <item x="144"/>
        <item x="223"/>
        <item x="371"/>
        <item x="30"/>
        <item x="236"/>
        <item x="271"/>
        <item x="84"/>
        <item x="283"/>
        <item x="353"/>
        <item x="76"/>
        <item x="36"/>
        <item x="169"/>
        <item x="276"/>
        <item x="161"/>
        <item x="126"/>
        <item x="218"/>
        <item x="262"/>
        <item x="111"/>
        <item x="68"/>
        <item x="340"/>
        <item x="254"/>
        <item x="212"/>
        <item x="131"/>
        <item x="100"/>
        <item x="47"/>
        <item x="136"/>
        <item x="240"/>
        <item x="251"/>
        <item x="78"/>
        <item x="94"/>
        <item x="209"/>
        <item x="331"/>
        <item x="174"/>
        <item x="293"/>
        <item x="316"/>
        <item x="58"/>
        <item x="268"/>
        <item x="304"/>
        <item x="361"/>
        <item x="158"/>
        <item x="348"/>
        <item x="93"/>
        <item x="137"/>
        <item x="228"/>
        <item x="122"/>
        <item x="394"/>
        <item x="285"/>
        <item x="249"/>
        <item x="287"/>
        <item x="24"/>
        <item x="344"/>
        <item x="189"/>
        <item x="288"/>
        <item x="11"/>
        <item x="32"/>
        <item x="289"/>
        <item x="91"/>
        <item x="246"/>
        <item x="363"/>
        <item x="165"/>
        <item x="315"/>
        <item x="298"/>
        <item x="201"/>
        <item x="308"/>
        <item x="227"/>
        <item x="362"/>
        <item x="281"/>
        <item x="31"/>
        <item x="375"/>
        <item x="5"/>
        <item x="330"/>
        <item x="247"/>
        <item x="310"/>
        <item x="53"/>
        <item x="213"/>
        <item x="234"/>
        <item x="98"/>
        <item x="125"/>
        <item x="204"/>
        <item x="63"/>
        <item x="275"/>
        <item x="306"/>
        <item x="55"/>
        <item x="142"/>
        <item x="83"/>
        <item x="235"/>
        <item x="303"/>
        <item x="379"/>
        <item x="185"/>
        <item x="170"/>
        <item x="34"/>
        <item x="255"/>
        <item x="377"/>
        <item x="248"/>
        <item x="171"/>
        <item x="59"/>
        <item x="284"/>
        <item x="188"/>
        <item x="146"/>
        <item x="92"/>
        <item x="238"/>
        <item x="15"/>
        <item x="121"/>
        <item x="167"/>
        <item x="117"/>
        <item x="190"/>
        <item x="176"/>
        <item x="307"/>
        <item x="299"/>
        <item x="357"/>
        <item x="388"/>
        <item x="3"/>
        <item x="12"/>
        <item x="109"/>
        <item x="16"/>
        <item x="345"/>
        <item x="381"/>
        <item x="37"/>
        <item x="168"/>
        <item x="297"/>
        <item x="26"/>
        <item x="157"/>
        <item x="135"/>
        <item x="200"/>
        <item x="382"/>
        <item x="67"/>
        <item x="145"/>
        <item x="163"/>
        <item x="274"/>
        <item x="217"/>
        <item x="186"/>
        <item x="19"/>
        <item x="324"/>
        <item x="239"/>
        <item x="57"/>
        <item x="177"/>
        <item x="110"/>
        <item x="351"/>
        <item x="79"/>
        <item x="328"/>
        <item x="270"/>
        <item x="14"/>
        <item x="346"/>
        <item x="207"/>
        <item x="40"/>
        <item x="317"/>
        <item x="104"/>
        <item x="226"/>
        <item x="153"/>
        <item x="191"/>
        <item x="350"/>
        <item x="202"/>
        <item x="366"/>
        <item x="10"/>
        <item x="233"/>
        <item x="312"/>
        <item x="277"/>
        <item x="197"/>
        <item x="13"/>
        <item x="103"/>
        <item x="332"/>
        <item x="280"/>
        <item x="338"/>
        <item x="39"/>
        <item x="349"/>
        <item x="60"/>
        <item x="292"/>
        <item x="107"/>
        <item x="378"/>
        <item x="195"/>
        <item x="264"/>
        <item x="123"/>
        <item x="352"/>
        <item x="96"/>
        <item x="267"/>
        <item x="214"/>
        <item x="291"/>
        <item x="272"/>
        <item x="162"/>
        <item x="141"/>
        <item x="62"/>
        <item x="376"/>
        <item x="252"/>
        <item x="385"/>
        <item x="253"/>
        <item x="300"/>
        <item x="70"/>
        <item x="323"/>
        <item x="230"/>
        <item x="86"/>
        <item x="194"/>
        <item x="309"/>
        <item x="222"/>
        <item x="208"/>
        <item x="245"/>
        <item x="225"/>
        <item x="166"/>
        <item x="359"/>
        <item x="147"/>
        <item x="373"/>
        <item x="184"/>
        <item x="172"/>
        <item x="269"/>
        <item x="243"/>
        <item x="41"/>
        <item x="82"/>
        <item x="387"/>
        <item x="114"/>
        <item x="347"/>
        <item x="384"/>
        <item x="151"/>
        <item x="102"/>
        <item x="179"/>
        <item x="21"/>
        <item x="1"/>
        <item x="7"/>
        <item x="370"/>
        <item x="6"/>
        <item x="342"/>
        <item x="360"/>
        <item x="132"/>
        <item x="33"/>
        <item x="88"/>
        <item x="313"/>
        <item x="216"/>
        <item x="383"/>
        <item x="73"/>
        <item x="18"/>
        <item x="294"/>
        <item x="64"/>
        <item x="339"/>
        <item x="392"/>
        <item x="237"/>
        <item x="372"/>
        <item x="325"/>
        <item x="130"/>
        <item x="290"/>
        <item x="334"/>
        <item x="358"/>
        <item x="113"/>
        <item x="187"/>
        <item x="321"/>
        <item x="74"/>
        <item x="50"/>
        <item x="318"/>
        <item x="155"/>
        <item x="71"/>
        <item x="61"/>
        <item x="296"/>
        <item x="278"/>
        <item x="302"/>
        <item x="99"/>
        <item x="183"/>
        <item x="127"/>
        <item x="389"/>
        <item x="221"/>
        <item x="48"/>
        <item x="259"/>
        <item x="193"/>
        <item x="77"/>
        <item x="65"/>
        <item x="43"/>
        <item x="129"/>
        <item x="286"/>
        <item x="75"/>
        <item x="390"/>
        <item x="9"/>
        <item x="333"/>
        <item x="22"/>
        <item x="28"/>
        <item x="42"/>
        <item x="173"/>
        <item x="156"/>
        <item x="164"/>
        <item x="374"/>
        <item x="181"/>
        <item x="44"/>
        <item x="329"/>
        <item x="23"/>
        <item x="52"/>
        <item x="112"/>
        <item x="143"/>
        <item x="311"/>
        <item x="95"/>
        <item x="134"/>
        <item x="231"/>
        <item x="49"/>
        <item x="211"/>
        <item x="119"/>
        <item x="180"/>
        <item x="206"/>
        <item x="367"/>
        <item x="139"/>
        <item x="0"/>
        <item x="335"/>
        <item x="279"/>
        <item t="default"/>
      </items>
    </pivotField>
    <pivotField showAll="0">
      <items count="13">
        <item x="0"/>
        <item x="1"/>
        <item x="2"/>
        <item x="3"/>
        <item x="4"/>
        <item x="5"/>
        <item x="6"/>
        <item x="7"/>
        <item x="8"/>
        <item x="9"/>
        <item x="10"/>
        <item x="11"/>
        <item t="default"/>
      </items>
    </pivotField>
    <pivotField showAll="0">
      <items count="3">
        <item x="1"/>
        <item x="0"/>
        <item t="default"/>
      </items>
    </pivotField>
    <pivotField showAll="0"/>
    <pivotField showAll="0"/>
    <pivotField showAll="0"/>
    <pivotField showAll="0"/>
    <pivotField showAll="0"/>
    <pivotField numFmtId="2" showAll="0"/>
    <pivotField showAll="0"/>
    <pivotField axis="axisRow" showAll="0">
      <items count="6">
        <item x="2"/>
        <item x="3"/>
        <item x="0"/>
        <item x="1"/>
        <item x="4"/>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s>
  <rowFields count="1">
    <field x="16"/>
  </rowFields>
  <rowItems count="6">
    <i>
      <x/>
    </i>
    <i>
      <x v="1"/>
    </i>
    <i>
      <x v="2"/>
    </i>
    <i>
      <x v="3"/>
    </i>
    <i>
      <x v="4"/>
    </i>
    <i t="grand">
      <x/>
    </i>
  </rowItems>
  <colItems count="1">
    <i/>
  </colItems>
  <dataFields count="1">
    <dataField name="Count of StudentID" fld="0" subtotal="count" baseField="16" baseItem="0"/>
  </dataFields>
  <chartFormats count="6">
    <chartFormat chart="29" format="7" series="1">
      <pivotArea type="data" outline="0" fieldPosition="0">
        <references count="1">
          <reference field="4294967294" count="1" selected="0">
            <x v="0"/>
          </reference>
        </references>
      </pivotArea>
    </chartFormat>
    <chartFormat chart="29" format="8">
      <pivotArea type="data" outline="0" fieldPosition="0">
        <references count="2">
          <reference field="4294967294" count="1" selected="0">
            <x v="0"/>
          </reference>
          <reference field="16" count="1" selected="0">
            <x v="0"/>
          </reference>
        </references>
      </pivotArea>
    </chartFormat>
    <chartFormat chart="29" format="9">
      <pivotArea type="data" outline="0" fieldPosition="0">
        <references count="2">
          <reference field="4294967294" count="1" selected="0">
            <x v="0"/>
          </reference>
          <reference field="16" count="1" selected="0">
            <x v="1"/>
          </reference>
        </references>
      </pivotArea>
    </chartFormat>
    <chartFormat chart="29" format="10">
      <pivotArea type="data" outline="0" fieldPosition="0">
        <references count="2">
          <reference field="4294967294" count="1" selected="0">
            <x v="0"/>
          </reference>
          <reference field="16" count="1" selected="0">
            <x v="2"/>
          </reference>
        </references>
      </pivotArea>
    </chartFormat>
    <chartFormat chart="29" format="11">
      <pivotArea type="data" outline="0" fieldPosition="0">
        <references count="2">
          <reference field="4294967294" count="1" selected="0">
            <x v="0"/>
          </reference>
          <reference field="16" count="1" selected="0">
            <x v="3"/>
          </reference>
        </references>
      </pivotArea>
    </chartFormat>
    <chartFormat chart="29" format="12">
      <pivotArea type="data" outline="0" fieldPosition="0">
        <references count="2">
          <reference field="4294967294" count="1" selected="0">
            <x v="0"/>
          </reference>
          <reference field="1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4094A96-28CC-449D-A253-9A1EAC8A27A5}" name="Studytime/gpa"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rowHeaderCaption="Hours">
  <location ref="B2:C27" firstHeaderRow="1" firstDataRow="1" firstDataCol="1"/>
  <pivotFields count="21">
    <pivotField showAll="0"/>
    <pivotField showAll="0"/>
    <pivotField showAll="0"/>
    <pivotField showAll="0">
      <items count="3">
        <item x="1"/>
        <item x="0"/>
        <item t="default"/>
      </items>
    </pivotField>
    <pivotField showAll="0">
      <items count="5">
        <item x="0"/>
        <item x="2"/>
        <item x="1"/>
        <item x="3"/>
        <item t="default"/>
      </items>
    </pivotField>
    <pivotField showAll="0">
      <items count="6">
        <item x="4"/>
        <item x="1"/>
        <item x="0"/>
        <item x="2"/>
        <item x="3"/>
        <item t="default"/>
      </items>
    </pivotField>
    <pivotField numFmtId="164" showAll="0">
      <items count="396">
        <item x="87"/>
        <item x="54"/>
        <item x="301"/>
        <item x="336"/>
        <item x="258"/>
        <item x="97"/>
        <item x="215"/>
        <item x="133"/>
        <item x="393"/>
        <item x="295"/>
        <item x="140"/>
        <item x="128"/>
        <item x="175"/>
        <item x="81"/>
        <item x="56"/>
        <item x="369"/>
        <item x="69"/>
        <item x="160"/>
        <item x="80"/>
        <item x="105"/>
        <item x="391"/>
        <item x="343"/>
        <item x="365"/>
        <item x="219"/>
        <item x="224"/>
        <item x="138"/>
        <item x="148"/>
        <item x="320"/>
        <item x="265"/>
        <item x="115"/>
        <item x="319"/>
        <item x="199"/>
        <item x="89"/>
        <item x="354"/>
        <item x="242"/>
        <item x="203"/>
        <item x="101"/>
        <item x="210"/>
        <item x="196"/>
        <item x="250"/>
        <item x="116"/>
        <item x="314"/>
        <item x="51"/>
        <item x="27"/>
        <item x="337"/>
        <item x="386"/>
        <item x="273"/>
        <item x="355"/>
        <item x="66"/>
        <item x="198"/>
        <item x="326"/>
        <item x="263"/>
        <item x="124"/>
        <item x="327"/>
        <item x="20"/>
        <item x="46"/>
        <item x="266"/>
        <item x="25"/>
        <item x="305"/>
        <item x="106"/>
        <item x="38"/>
        <item x="120"/>
        <item x="118"/>
        <item x="220"/>
        <item x="72"/>
        <item x="368"/>
        <item x="178"/>
        <item x="35"/>
        <item x="205"/>
        <item x="232"/>
        <item x="17"/>
        <item x="241"/>
        <item x="29"/>
        <item x="380"/>
        <item x="192"/>
        <item x="152"/>
        <item x="85"/>
        <item x="90"/>
        <item x="364"/>
        <item x="256"/>
        <item x="149"/>
        <item x="244"/>
        <item x="182"/>
        <item x="108"/>
        <item x="257"/>
        <item x="2"/>
        <item x="260"/>
        <item x="322"/>
        <item x="150"/>
        <item x="154"/>
        <item x="229"/>
        <item x="356"/>
        <item x="282"/>
        <item x="261"/>
        <item x="8"/>
        <item x="4"/>
        <item x="159"/>
        <item x="341"/>
        <item x="45"/>
        <item x="144"/>
        <item x="223"/>
        <item x="371"/>
        <item x="30"/>
        <item x="236"/>
        <item x="271"/>
        <item x="84"/>
        <item x="283"/>
        <item x="353"/>
        <item x="76"/>
        <item x="36"/>
        <item x="169"/>
        <item x="276"/>
        <item x="161"/>
        <item x="126"/>
        <item x="218"/>
        <item x="262"/>
        <item x="111"/>
        <item x="68"/>
        <item x="340"/>
        <item x="254"/>
        <item x="212"/>
        <item x="131"/>
        <item x="100"/>
        <item x="47"/>
        <item x="136"/>
        <item x="240"/>
        <item x="251"/>
        <item x="78"/>
        <item x="94"/>
        <item x="209"/>
        <item x="331"/>
        <item x="174"/>
        <item x="293"/>
        <item x="316"/>
        <item x="58"/>
        <item x="268"/>
        <item x="304"/>
        <item x="361"/>
        <item x="158"/>
        <item x="348"/>
        <item x="93"/>
        <item x="137"/>
        <item x="228"/>
        <item x="122"/>
        <item x="394"/>
        <item x="285"/>
        <item x="249"/>
        <item x="287"/>
        <item x="24"/>
        <item x="344"/>
        <item x="189"/>
        <item x="288"/>
        <item x="11"/>
        <item x="32"/>
        <item x="289"/>
        <item x="91"/>
        <item x="246"/>
        <item x="363"/>
        <item x="165"/>
        <item x="315"/>
        <item x="298"/>
        <item x="201"/>
        <item x="308"/>
        <item x="227"/>
        <item x="362"/>
        <item x="281"/>
        <item x="31"/>
        <item x="375"/>
        <item x="5"/>
        <item x="330"/>
        <item x="247"/>
        <item x="310"/>
        <item x="53"/>
        <item x="213"/>
        <item x="234"/>
        <item x="98"/>
        <item x="125"/>
        <item x="204"/>
        <item x="63"/>
        <item x="275"/>
        <item x="306"/>
        <item x="55"/>
        <item x="142"/>
        <item x="83"/>
        <item x="235"/>
        <item x="303"/>
        <item x="379"/>
        <item x="185"/>
        <item x="170"/>
        <item x="34"/>
        <item x="255"/>
        <item x="377"/>
        <item x="248"/>
        <item x="171"/>
        <item x="59"/>
        <item x="284"/>
        <item x="188"/>
        <item x="146"/>
        <item x="92"/>
        <item x="238"/>
        <item x="15"/>
        <item x="121"/>
        <item x="167"/>
        <item x="117"/>
        <item x="190"/>
        <item x="176"/>
        <item x="307"/>
        <item x="299"/>
        <item x="357"/>
        <item x="388"/>
        <item x="3"/>
        <item x="12"/>
        <item x="109"/>
        <item x="16"/>
        <item x="345"/>
        <item x="381"/>
        <item x="37"/>
        <item x="168"/>
        <item x="297"/>
        <item x="26"/>
        <item x="157"/>
        <item x="135"/>
        <item x="200"/>
        <item x="382"/>
        <item x="67"/>
        <item x="145"/>
        <item x="163"/>
        <item x="274"/>
        <item x="217"/>
        <item x="186"/>
        <item x="19"/>
        <item x="324"/>
        <item x="239"/>
        <item x="57"/>
        <item x="177"/>
        <item x="110"/>
        <item x="351"/>
        <item x="79"/>
        <item x="328"/>
        <item x="270"/>
        <item x="14"/>
        <item x="346"/>
        <item x="207"/>
        <item x="40"/>
        <item x="317"/>
        <item x="104"/>
        <item x="226"/>
        <item x="153"/>
        <item x="191"/>
        <item x="350"/>
        <item x="202"/>
        <item x="366"/>
        <item x="10"/>
        <item x="233"/>
        <item x="312"/>
        <item x="277"/>
        <item x="197"/>
        <item x="13"/>
        <item x="103"/>
        <item x="332"/>
        <item x="280"/>
        <item x="338"/>
        <item x="39"/>
        <item x="349"/>
        <item x="60"/>
        <item x="292"/>
        <item x="107"/>
        <item x="378"/>
        <item x="195"/>
        <item x="264"/>
        <item x="123"/>
        <item x="352"/>
        <item x="96"/>
        <item x="267"/>
        <item x="214"/>
        <item x="291"/>
        <item x="272"/>
        <item x="162"/>
        <item x="141"/>
        <item x="62"/>
        <item x="376"/>
        <item x="252"/>
        <item x="385"/>
        <item x="253"/>
        <item x="300"/>
        <item x="70"/>
        <item x="323"/>
        <item x="230"/>
        <item x="86"/>
        <item x="194"/>
        <item x="309"/>
        <item x="222"/>
        <item x="208"/>
        <item x="245"/>
        <item x="225"/>
        <item x="166"/>
        <item x="359"/>
        <item x="147"/>
        <item x="373"/>
        <item x="184"/>
        <item x="172"/>
        <item x="269"/>
        <item x="243"/>
        <item x="41"/>
        <item x="82"/>
        <item x="387"/>
        <item x="114"/>
        <item x="347"/>
        <item x="384"/>
        <item x="151"/>
        <item x="102"/>
        <item x="179"/>
        <item x="21"/>
        <item x="1"/>
        <item x="7"/>
        <item x="370"/>
        <item x="6"/>
        <item x="342"/>
        <item x="360"/>
        <item x="132"/>
        <item x="33"/>
        <item x="88"/>
        <item x="313"/>
        <item x="216"/>
        <item x="383"/>
        <item x="73"/>
        <item x="18"/>
        <item x="294"/>
        <item x="64"/>
        <item x="339"/>
        <item x="392"/>
        <item x="237"/>
        <item x="372"/>
        <item x="325"/>
        <item x="130"/>
        <item x="290"/>
        <item x="334"/>
        <item x="358"/>
        <item x="113"/>
        <item x="187"/>
        <item x="321"/>
        <item x="74"/>
        <item x="50"/>
        <item x="318"/>
        <item x="155"/>
        <item x="71"/>
        <item x="61"/>
        <item x="296"/>
        <item x="278"/>
        <item x="302"/>
        <item x="99"/>
        <item x="183"/>
        <item x="127"/>
        <item x="389"/>
        <item x="221"/>
        <item x="48"/>
        <item x="259"/>
        <item x="193"/>
        <item x="77"/>
        <item x="65"/>
        <item x="43"/>
        <item x="129"/>
        <item x="286"/>
        <item x="75"/>
        <item x="390"/>
        <item x="9"/>
        <item x="333"/>
        <item x="22"/>
        <item x="28"/>
        <item x="42"/>
        <item x="173"/>
        <item x="156"/>
        <item x="164"/>
        <item x="374"/>
        <item x="181"/>
        <item x="44"/>
        <item x="329"/>
        <item x="23"/>
        <item x="52"/>
        <item x="112"/>
        <item x="143"/>
        <item x="311"/>
        <item x="95"/>
        <item x="134"/>
        <item x="231"/>
        <item x="49"/>
        <item x="211"/>
        <item x="119"/>
        <item x="180"/>
        <item x="206"/>
        <item x="367"/>
        <item x="139"/>
        <item x="0"/>
        <item x="335"/>
        <item x="279"/>
        <item t="default"/>
      </items>
    </pivotField>
    <pivotField showAll="0">
      <items count="13">
        <item x="0"/>
        <item x="1"/>
        <item x="2"/>
        <item x="3"/>
        <item x="4"/>
        <item x="5"/>
        <item x="6"/>
        <item x="7"/>
        <item x="8"/>
        <item x="9"/>
        <item x="10"/>
        <item x="11"/>
        <item t="default"/>
      </items>
    </pivotField>
    <pivotField showAll="0">
      <items count="3">
        <item x="1"/>
        <item x="0"/>
        <item t="default"/>
      </items>
    </pivotField>
    <pivotField showAll="0"/>
    <pivotField showAll="0"/>
    <pivotField showAll="0"/>
    <pivotField showAll="0"/>
    <pivotField showAll="0"/>
    <pivotField dataField="1" numFmtId="2" showAll="0"/>
    <pivotField showAll="0"/>
    <pivotField showAll="0"/>
    <pivotField axis="axisRow"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axis="axisRow"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axis="axisRow"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s>
  <rowFields count="3">
    <field x="19"/>
    <field x="18"/>
    <field x="17"/>
  </rowFields>
  <rowItems count="25">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dataFields count="1">
    <dataField name="Average of GPA" fld="14" subtotal="average" baseField="5" baseItem="0" numFmtId="2"/>
  </dataFields>
  <chartFormats count="1">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C7441FA-3847-4FF6-9D85-0F5A3884BCB0}" sourceName="Gender">
  <pivotTables>
    <pivotTable tabId="7" name="Studytime/gpa"/>
    <pivotTable tabId="7" name="Absense/GPA"/>
    <pivotTable tabId="7" name="Extra Curr/Gpa"/>
    <pivotTable tabId="7" name="Gender/Ethics/gpa"/>
    <pivotTable tabId="7" name="ParentalEDU/GPA"/>
    <pivotTable tabId="7" name="parentSuport/tutoring/gpa"/>
    <pivotTable tabId="7" name="Total students by grade"/>
  </pivotTables>
  <data>
    <tabular pivotCacheId="2044965736">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rentalEducation" xr10:uid="{4834E524-83D7-4E11-B8EA-B6315BABD0C1}" sourceName="ParentalEducation">
  <pivotTables>
    <pivotTable tabId="7" name="Studytime/gpa"/>
    <pivotTable tabId="7" name="Absense/GPA"/>
    <pivotTable tabId="7" name="Extra Curr/Gpa"/>
    <pivotTable tabId="7" name="Gender/Ethics/gpa"/>
    <pivotTable tabId="7" name="ParentalEDU/GPA"/>
    <pivotTable tabId="7" name="parentSuport/tutoring/gpa"/>
    <pivotTable tabId="7" name="Total students by grade"/>
  </pivotTables>
  <data>
    <tabular pivotCacheId="2044965736">
      <items count="5">
        <i x="4" s="1"/>
        <i x="1" s="1"/>
        <i x="0"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utoring" xr10:uid="{61FD6004-9E66-44EA-BA62-281F29600510}" sourceName="Tutoring">
  <pivotTables>
    <pivotTable tabId="7" name="Studytime/gpa"/>
    <pivotTable tabId="7" name="Absense/GPA"/>
    <pivotTable tabId="7" name="Extra Curr/Gpa"/>
    <pivotTable tabId="7" name="Gender/Ethics/gpa"/>
    <pivotTable tabId="7" name="ParentalEDU/GPA"/>
    <pivotTable tabId="7" name="parentSuport/tutoring/gpa"/>
    <pivotTable tabId="7" name="Total students by grade"/>
  </pivotTables>
  <data>
    <tabular pivotCacheId="2044965736">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965865C5-22C1-4602-B59E-0A9D528B7F07}" cache="Slicer_Gender" caption="Gender" columnCount="2" style="SlicerStyleLight2" rowHeight="247650"/>
  <slicer name="ParentalEducation" xr10:uid="{4C6F3225-CF28-4F89-A88F-E2522FBDA163}" cache="Slicer_ParentalEducation" caption="ParentalEducation" columnCount="5" style="SlicerStyleLight2" rowHeight="247650"/>
  <slicer name="Tutoring" xr10:uid="{F83B4430-0781-4C17-8929-7B5BA029AE25}" cache="Slicer_Tutoring" caption="Tutoring" columnCount="2" style="SlicerStyleLight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FA71BF4-DE64-440B-9A6D-336C6B200093}" name="Table2" displayName="Table2" ref="A1:Q396" totalsRowShown="0" headerRowDxfId="18" dataDxfId="17">
  <autoFilter ref="A1:Q396" xr:uid="{0FA71BF4-DE64-440B-9A6D-336C6B200093}"/>
  <tableColumns count="17">
    <tableColumn id="1" xr3:uid="{D1C4456D-E499-4659-977F-1E57CD5CC0E3}" name="StudentID" dataDxfId="16"/>
    <tableColumn id="2" xr3:uid="{645679B1-917F-44F0-B7EE-B3921C0C8C44}" name="Age" dataDxfId="15"/>
    <tableColumn id="3" xr3:uid="{F4128756-FF39-43B5-A11F-8C541777A90B}" name="Gender Code" dataDxfId="14"/>
    <tableColumn id="16" xr3:uid="{97DB98B7-2FAC-4A93-8FBF-512A44DC377B}" name="Gender" dataDxfId="13">
      <calculatedColumnFormula>IF(Table2[[#This Row],[Gender Code]]=1,"Male","Female")</calculatedColumnFormula>
    </tableColumn>
    <tableColumn id="4" xr3:uid="{2172E3CA-BE19-4375-B595-FBC86FFE6E69}" name="Ethnicity" dataDxfId="12"/>
    <tableColumn id="5" xr3:uid="{01DE0002-0CC8-4DD8-ABAC-0EC23A4A148B}" name="ParentalEducation" dataDxfId="11"/>
    <tableColumn id="6" xr3:uid="{228F1995-7740-43E4-837B-225107F4B317}" name="StudyTimeWeekly" dataDxfId="10"/>
    <tableColumn id="7" xr3:uid="{CB58768D-CFC7-4A23-9FA3-EBA83508166E}" name="Absences" dataDxfId="9"/>
    <tableColumn id="8" xr3:uid="{E06D63FA-B3C2-4B41-A1F2-76F4D3543A19}" name="Tutoring" dataDxfId="8"/>
    <tableColumn id="9" xr3:uid="{3C413494-C4EE-43C4-B56E-E5EC0503BB0B}" name="ParentalSupport" dataDxfId="7"/>
    <tableColumn id="10" xr3:uid="{65940B15-69DA-4099-9F3F-7CEFA25CD58A}" name="Extracurricular" dataDxfId="6"/>
    <tableColumn id="11" xr3:uid="{783B6FD3-9570-459A-976B-640522B4EF18}" name="Sports" dataDxfId="5"/>
    <tableColumn id="12" xr3:uid="{A235841F-46A3-4310-867A-EF660D198414}" name="Music" dataDxfId="4"/>
    <tableColumn id="13" xr3:uid="{8D009FE9-B502-4E1B-8DFA-FF1BADB0B6DA}" name="Volunteering" dataDxfId="3"/>
    <tableColumn id="14" xr3:uid="{FA5AFCB8-CAD9-4574-970E-E5F7DB8493B1}" name="GPA" dataDxfId="2"/>
    <tableColumn id="15" xr3:uid="{EA6E4F0B-521C-4BA7-871B-9B0F80013BD6}" name="GradeClass" dataDxfId="1"/>
    <tableColumn id="17" xr3:uid="{699C07D5-10B4-4921-A65B-DFED8219BB50}" name="Grade" dataDxfId="0">
      <calculatedColumnFormula>IF(Table2[[#This Row],[GradeClass]]=4,"A",IF(Table2[[#This Row],[GradeClass]]=3,"B",IF(Table2[[#This Row],[GradeClass]]=2,"C",IF(Table2[[#This Row],[GradeClass]]=1,"D","F"))))</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Red">
      <a:dk1>
        <a:sysClr val="windowText" lastClr="000000"/>
      </a:dk1>
      <a:lt1>
        <a:sysClr val="window" lastClr="FFFFFF"/>
      </a:lt1>
      <a:dk2>
        <a:srgbClr val="323232"/>
      </a:dk2>
      <a:lt2>
        <a:srgbClr val="E5C243"/>
      </a:lt2>
      <a:accent1>
        <a:srgbClr val="A5300F"/>
      </a:accent1>
      <a:accent2>
        <a:srgbClr val="D55816"/>
      </a:accent2>
      <a:accent3>
        <a:srgbClr val="E19825"/>
      </a:accent3>
      <a:accent4>
        <a:srgbClr val="B19C7D"/>
      </a:accent4>
      <a:accent5>
        <a:srgbClr val="7F5F52"/>
      </a:accent5>
      <a:accent6>
        <a:srgbClr val="B27D49"/>
      </a:accent6>
      <a:hlink>
        <a:srgbClr val="6B9F25"/>
      </a:hlink>
      <a:folHlink>
        <a:srgbClr val="B26B0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66C4F-8477-45E5-A754-F425FD74F9D8}">
  <dimension ref="A1:O396"/>
  <sheetViews>
    <sheetView workbookViewId="0">
      <selection activeCell="S385" sqref="S385"/>
    </sheetView>
  </sheetViews>
  <sheetFormatPr defaultRowHeight="14.4" x14ac:dyDescent="0.3"/>
  <cols>
    <col min="1" max="1" width="8.77734375" bestFit="1" customWidth="1"/>
    <col min="2" max="2" width="4" bestFit="1" customWidth="1"/>
    <col min="3" max="3" width="7" bestFit="1" customWidth="1"/>
    <col min="4" max="4" width="7.77734375" bestFit="1" customWidth="1"/>
    <col min="5" max="5" width="15.88671875" bestFit="1" customWidth="1"/>
    <col min="6" max="6" width="15.109375" bestFit="1" customWidth="1"/>
    <col min="7" max="7" width="8.88671875" bestFit="1" customWidth="1"/>
    <col min="8" max="8" width="7.44140625" bestFit="1" customWidth="1"/>
    <col min="9" max="9" width="14.109375" bestFit="1" customWidth="1"/>
    <col min="10" max="10" width="12.88671875" bestFit="1" customWidth="1"/>
    <col min="11" max="11" width="6.109375" bestFit="1" customWidth="1"/>
    <col min="12" max="12" width="5.77734375" bestFit="1" customWidth="1"/>
    <col min="13" max="13" width="11.109375" bestFit="1" customWidth="1"/>
    <col min="14" max="14" width="12" bestFit="1" customWidth="1"/>
    <col min="15" max="15" width="10.44140625" bestFit="1" customWidth="1"/>
    <col min="16" max="16" width="9.21875" bestFit="1" customWidth="1"/>
    <col min="17" max="17" width="7" bestFit="1" customWidth="1"/>
    <col min="18" max="18" width="4.44140625" bestFit="1" customWidth="1"/>
    <col min="19" max="19" width="8.109375" bestFit="1" customWidth="1"/>
    <col min="20" max="20" width="7" bestFit="1" customWidth="1"/>
    <col min="21" max="21" width="6" bestFit="1" customWidth="1"/>
    <col min="22" max="22" width="7.21875" bestFit="1" customWidth="1"/>
    <col min="23" max="23" width="8.21875" bestFit="1" customWidth="1"/>
    <col min="24" max="24" width="6.21875" bestFit="1" customWidth="1"/>
    <col min="25" max="25" width="7.77734375" bestFit="1" customWidth="1"/>
    <col min="26" max="26" width="5.44140625" bestFit="1" customWidth="1"/>
    <col min="27" max="27" width="4.6640625" bestFit="1" customWidth="1"/>
    <col min="28" max="28" width="5.109375" bestFit="1" customWidth="1"/>
    <col min="29" max="29" width="6" bestFit="1" customWidth="1"/>
    <col min="30" max="30" width="8.77734375" bestFit="1" customWidth="1"/>
    <col min="31" max="33" width="3.33203125" bestFit="1" customWidth="1"/>
  </cols>
  <sheetData>
    <row r="1" spans="1:15" x14ac:dyDescent="0.3">
      <c r="A1" t="s">
        <v>3</v>
      </c>
      <c r="B1" t="s">
        <v>4</v>
      </c>
      <c r="C1" t="s">
        <v>5</v>
      </c>
      <c r="D1" t="s">
        <v>6</v>
      </c>
      <c r="E1" t="s">
        <v>7</v>
      </c>
      <c r="F1" t="s">
        <v>8</v>
      </c>
      <c r="G1" t="s">
        <v>9</v>
      </c>
      <c r="H1" t="s">
        <v>10</v>
      </c>
      <c r="I1" t="s">
        <v>11</v>
      </c>
      <c r="J1" t="s">
        <v>12</v>
      </c>
      <c r="K1" t="s">
        <v>13</v>
      </c>
      <c r="L1" t="s">
        <v>14</v>
      </c>
      <c r="M1" t="s">
        <v>15</v>
      </c>
      <c r="N1" t="s">
        <v>16</v>
      </c>
      <c r="O1" t="s">
        <v>17</v>
      </c>
    </row>
    <row r="2" spans="1:15" x14ac:dyDescent="0.3">
      <c r="A2">
        <v>1001</v>
      </c>
      <c r="B2">
        <v>17</v>
      </c>
      <c r="C2">
        <v>1</v>
      </c>
      <c r="D2">
        <v>0</v>
      </c>
      <c r="E2">
        <v>2</v>
      </c>
      <c r="F2">
        <v>19.833722807854699</v>
      </c>
      <c r="G2">
        <v>7</v>
      </c>
      <c r="H2">
        <v>1</v>
      </c>
      <c r="I2">
        <v>2</v>
      </c>
      <c r="J2">
        <v>0</v>
      </c>
      <c r="K2">
        <v>0</v>
      </c>
      <c r="L2">
        <v>1</v>
      </c>
      <c r="M2">
        <v>0</v>
      </c>
      <c r="N2">
        <v>2.9291955916676802</v>
      </c>
      <c r="O2">
        <v>2</v>
      </c>
    </row>
    <row r="3" spans="1:15" x14ac:dyDescent="0.3">
      <c r="A3">
        <v>1002</v>
      </c>
      <c r="B3">
        <v>18</v>
      </c>
      <c r="C3">
        <v>0</v>
      </c>
      <c r="D3">
        <v>0</v>
      </c>
      <c r="E3">
        <v>1</v>
      </c>
      <c r="F3">
        <v>15.4087560558467</v>
      </c>
      <c r="G3">
        <v>0</v>
      </c>
      <c r="H3">
        <v>0</v>
      </c>
      <c r="I3">
        <v>1</v>
      </c>
      <c r="J3">
        <v>0</v>
      </c>
      <c r="K3">
        <v>0</v>
      </c>
      <c r="L3">
        <v>0</v>
      </c>
      <c r="M3">
        <v>0</v>
      </c>
      <c r="N3">
        <v>3.0429148334363698</v>
      </c>
      <c r="O3">
        <v>1</v>
      </c>
    </row>
    <row r="4" spans="1:15" x14ac:dyDescent="0.3">
      <c r="A4">
        <v>1003</v>
      </c>
      <c r="B4">
        <v>15</v>
      </c>
      <c r="C4">
        <v>0</v>
      </c>
      <c r="D4">
        <v>2</v>
      </c>
      <c r="E4">
        <v>3</v>
      </c>
      <c r="F4">
        <v>4.2105697688122596</v>
      </c>
      <c r="G4">
        <v>26</v>
      </c>
      <c r="H4">
        <v>0</v>
      </c>
      <c r="I4">
        <v>2</v>
      </c>
      <c r="J4">
        <v>0</v>
      </c>
      <c r="K4">
        <v>0</v>
      </c>
      <c r="L4">
        <v>0</v>
      </c>
      <c r="M4">
        <v>0</v>
      </c>
      <c r="N4">
        <v>0.112602254466181</v>
      </c>
      <c r="O4">
        <v>4</v>
      </c>
    </row>
    <row r="5" spans="1:15" x14ac:dyDescent="0.3">
      <c r="A5">
        <v>1004</v>
      </c>
      <c r="B5">
        <v>17</v>
      </c>
      <c r="C5">
        <v>1</v>
      </c>
      <c r="D5">
        <v>0</v>
      </c>
      <c r="E5">
        <v>3</v>
      </c>
      <c r="F5">
        <v>10.028829473958201</v>
      </c>
      <c r="G5">
        <v>14</v>
      </c>
      <c r="H5">
        <v>0</v>
      </c>
      <c r="I5">
        <v>3</v>
      </c>
      <c r="J5">
        <v>1</v>
      </c>
      <c r="K5">
        <v>0</v>
      </c>
      <c r="L5">
        <v>0</v>
      </c>
      <c r="M5">
        <v>0</v>
      </c>
      <c r="N5">
        <v>2.05421813970294</v>
      </c>
      <c r="O5">
        <v>3</v>
      </c>
    </row>
    <row r="6" spans="1:15" x14ac:dyDescent="0.3">
      <c r="A6">
        <v>1005</v>
      </c>
      <c r="B6">
        <v>17</v>
      </c>
      <c r="C6">
        <v>1</v>
      </c>
      <c r="D6">
        <v>0</v>
      </c>
      <c r="E6">
        <v>2</v>
      </c>
      <c r="F6">
        <v>4.6724952729713296</v>
      </c>
      <c r="G6">
        <v>17</v>
      </c>
      <c r="H6">
        <v>1</v>
      </c>
      <c r="I6">
        <v>3</v>
      </c>
      <c r="J6">
        <v>0</v>
      </c>
      <c r="K6">
        <v>0</v>
      </c>
      <c r="L6">
        <v>0</v>
      </c>
      <c r="M6">
        <v>0</v>
      </c>
      <c r="N6">
        <v>1.28806118179538</v>
      </c>
      <c r="O6">
        <v>4</v>
      </c>
    </row>
    <row r="7" spans="1:15" x14ac:dyDescent="0.3">
      <c r="A7">
        <v>1006</v>
      </c>
      <c r="B7">
        <v>18</v>
      </c>
      <c r="C7">
        <v>0</v>
      </c>
      <c r="D7">
        <v>0</v>
      </c>
      <c r="E7">
        <v>1</v>
      </c>
      <c r="F7">
        <v>8.1912185452501802</v>
      </c>
      <c r="G7">
        <v>0</v>
      </c>
      <c r="H7">
        <v>0</v>
      </c>
      <c r="I7">
        <v>1</v>
      </c>
      <c r="J7">
        <v>1</v>
      </c>
      <c r="K7">
        <v>0</v>
      </c>
      <c r="L7">
        <v>0</v>
      </c>
      <c r="M7">
        <v>0</v>
      </c>
      <c r="N7">
        <v>3.0841836144863901</v>
      </c>
      <c r="O7">
        <v>1</v>
      </c>
    </row>
    <row r="8" spans="1:15" x14ac:dyDescent="0.3">
      <c r="A8">
        <v>1007</v>
      </c>
      <c r="B8">
        <v>15</v>
      </c>
      <c r="C8">
        <v>0</v>
      </c>
      <c r="D8">
        <v>1</v>
      </c>
      <c r="E8">
        <v>1</v>
      </c>
      <c r="F8">
        <v>15.601680474699201</v>
      </c>
      <c r="G8">
        <v>10</v>
      </c>
      <c r="H8">
        <v>0</v>
      </c>
      <c r="I8">
        <v>3</v>
      </c>
      <c r="J8">
        <v>0</v>
      </c>
      <c r="K8">
        <v>1</v>
      </c>
      <c r="L8">
        <v>0</v>
      </c>
      <c r="M8">
        <v>0</v>
      </c>
      <c r="N8">
        <v>2.7482374148915798</v>
      </c>
      <c r="O8">
        <v>2</v>
      </c>
    </row>
    <row r="9" spans="1:15" x14ac:dyDescent="0.3">
      <c r="A9">
        <v>1008</v>
      </c>
      <c r="B9">
        <v>15</v>
      </c>
      <c r="C9">
        <v>1</v>
      </c>
      <c r="D9">
        <v>1</v>
      </c>
      <c r="E9">
        <v>4</v>
      </c>
      <c r="F9">
        <v>15.424496305808001</v>
      </c>
      <c r="G9">
        <v>22</v>
      </c>
      <c r="H9">
        <v>1</v>
      </c>
      <c r="I9">
        <v>1</v>
      </c>
      <c r="J9">
        <v>1</v>
      </c>
      <c r="K9">
        <v>0</v>
      </c>
      <c r="L9">
        <v>0</v>
      </c>
      <c r="M9">
        <v>0</v>
      </c>
      <c r="N9">
        <v>1.36014271231646</v>
      </c>
      <c r="O9">
        <v>4</v>
      </c>
    </row>
    <row r="10" spans="1:15" x14ac:dyDescent="0.3">
      <c r="A10">
        <v>1009</v>
      </c>
      <c r="B10">
        <v>17</v>
      </c>
      <c r="C10">
        <v>0</v>
      </c>
      <c r="D10">
        <v>0</v>
      </c>
      <c r="E10">
        <v>0</v>
      </c>
      <c r="F10">
        <v>4.5620075580477</v>
      </c>
      <c r="G10">
        <v>1</v>
      </c>
      <c r="H10">
        <v>0</v>
      </c>
      <c r="I10">
        <v>2</v>
      </c>
      <c r="J10">
        <v>0</v>
      </c>
      <c r="K10">
        <v>1</v>
      </c>
      <c r="L10">
        <v>0</v>
      </c>
      <c r="M10">
        <v>1</v>
      </c>
      <c r="N10">
        <v>2.8968191895135602</v>
      </c>
      <c r="O10">
        <v>2</v>
      </c>
    </row>
    <row r="11" spans="1:15" x14ac:dyDescent="0.3">
      <c r="A11">
        <v>1010</v>
      </c>
      <c r="B11">
        <v>16</v>
      </c>
      <c r="C11">
        <v>1</v>
      </c>
      <c r="D11">
        <v>0</v>
      </c>
      <c r="E11">
        <v>1</v>
      </c>
      <c r="F11">
        <v>18.444466363097199</v>
      </c>
      <c r="G11">
        <v>0</v>
      </c>
      <c r="H11">
        <v>0</v>
      </c>
      <c r="I11">
        <v>3</v>
      </c>
      <c r="J11">
        <v>1</v>
      </c>
      <c r="K11">
        <v>0</v>
      </c>
      <c r="L11">
        <v>0</v>
      </c>
      <c r="M11">
        <v>0</v>
      </c>
      <c r="N11">
        <v>3.5734742103297599</v>
      </c>
      <c r="O11">
        <v>0</v>
      </c>
    </row>
    <row r="12" spans="1:15" x14ac:dyDescent="0.3">
      <c r="A12">
        <v>1011</v>
      </c>
      <c r="B12">
        <v>17</v>
      </c>
      <c r="C12">
        <v>0</v>
      </c>
      <c r="D12">
        <v>0</v>
      </c>
      <c r="E12">
        <v>1</v>
      </c>
      <c r="F12">
        <v>11.851363655296501</v>
      </c>
      <c r="G12">
        <v>11</v>
      </c>
      <c r="H12">
        <v>0</v>
      </c>
      <c r="I12">
        <v>1</v>
      </c>
      <c r="J12">
        <v>0</v>
      </c>
      <c r="K12">
        <v>0</v>
      </c>
      <c r="L12">
        <v>0</v>
      </c>
      <c r="M12">
        <v>0</v>
      </c>
      <c r="N12">
        <v>2.14717162501851</v>
      </c>
      <c r="O12">
        <v>3</v>
      </c>
    </row>
    <row r="13" spans="1:15" x14ac:dyDescent="0.3">
      <c r="A13">
        <v>1012</v>
      </c>
      <c r="B13">
        <v>17</v>
      </c>
      <c r="C13">
        <v>0</v>
      </c>
      <c r="D13">
        <v>0</v>
      </c>
      <c r="E13">
        <v>1</v>
      </c>
      <c r="F13">
        <v>7.59848581924029</v>
      </c>
      <c r="G13">
        <v>15</v>
      </c>
      <c r="H13">
        <v>0</v>
      </c>
      <c r="I13">
        <v>2</v>
      </c>
      <c r="J13">
        <v>0</v>
      </c>
      <c r="K13">
        <v>0</v>
      </c>
      <c r="L13">
        <v>0</v>
      </c>
      <c r="M13">
        <v>1</v>
      </c>
      <c r="N13">
        <v>1.55959451904027</v>
      </c>
      <c r="O13">
        <v>4</v>
      </c>
    </row>
    <row r="14" spans="1:15" x14ac:dyDescent="0.3">
      <c r="A14">
        <v>1013</v>
      </c>
      <c r="B14">
        <v>17</v>
      </c>
      <c r="C14">
        <v>0</v>
      </c>
      <c r="D14">
        <v>1</v>
      </c>
      <c r="E14">
        <v>1</v>
      </c>
      <c r="F14">
        <v>10.038711615617199</v>
      </c>
      <c r="G14">
        <v>21</v>
      </c>
      <c r="H14">
        <v>0</v>
      </c>
      <c r="I14">
        <v>3</v>
      </c>
      <c r="J14">
        <v>1</v>
      </c>
      <c r="K14">
        <v>0</v>
      </c>
      <c r="L14">
        <v>0</v>
      </c>
      <c r="M14">
        <v>0</v>
      </c>
      <c r="N14">
        <v>1.5200778148748</v>
      </c>
      <c r="O14">
        <v>4</v>
      </c>
    </row>
    <row r="15" spans="1:15" x14ac:dyDescent="0.3">
      <c r="A15">
        <v>1014</v>
      </c>
      <c r="B15">
        <v>17</v>
      </c>
      <c r="C15">
        <v>0</v>
      </c>
      <c r="D15">
        <v>1</v>
      </c>
      <c r="E15">
        <v>2</v>
      </c>
      <c r="F15">
        <v>12.1014250687548</v>
      </c>
      <c r="G15">
        <v>21</v>
      </c>
      <c r="H15">
        <v>0</v>
      </c>
      <c r="I15">
        <v>4</v>
      </c>
      <c r="J15">
        <v>0</v>
      </c>
      <c r="K15">
        <v>1</v>
      </c>
      <c r="L15">
        <v>0</v>
      </c>
      <c r="M15">
        <v>0</v>
      </c>
      <c r="N15">
        <v>1.75158095833407</v>
      </c>
      <c r="O15">
        <v>4</v>
      </c>
    </row>
    <row r="16" spans="1:15" x14ac:dyDescent="0.3">
      <c r="A16">
        <v>1015</v>
      </c>
      <c r="B16">
        <v>18</v>
      </c>
      <c r="C16">
        <v>1</v>
      </c>
      <c r="D16">
        <v>0</v>
      </c>
      <c r="E16">
        <v>1</v>
      </c>
      <c r="F16">
        <v>11.197810636915699</v>
      </c>
      <c r="G16">
        <v>9</v>
      </c>
      <c r="H16">
        <v>1</v>
      </c>
      <c r="I16">
        <v>2</v>
      </c>
      <c r="J16">
        <v>0</v>
      </c>
      <c r="K16">
        <v>0</v>
      </c>
      <c r="L16">
        <v>0</v>
      </c>
      <c r="M16">
        <v>0</v>
      </c>
      <c r="N16">
        <v>2.3967881171247898</v>
      </c>
      <c r="O16">
        <v>3</v>
      </c>
    </row>
    <row r="17" spans="1:15" x14ac:dyDescent="0.3">
      <c r="A17">
        <v>1016</v>
      </c>
      <c r="B17">
        <v>15</v>
      </c>
      <c r="C17">
        <v>0</v>
      </c>
      <c r="D17">
        <v>0</v>
      </c>
      <c r="E17">
        <v>2</v>
      </c>
      <c r="F17">
        <v>9.7281007107235595</v>
      </c>
      <c r="G17">
        <v>17</v>
      </c>
      <c r="H17">
        <v>1</v>
      </c>
      <c r="I17">
        <v>0</v>
      </c>
      <c r="J17">
        <v>0</v>
      </c>
      <c r="K17">
        <v>1</v>
      </c>
      <c r="L17">
        <v>0</v>
      </c>
      <c r="M17">
        <v>0</v>
      </c>
      <c r="N17">
        <v>1.3415207165346601</v>
      </c>
      <c r="O17">
        <v>4</v>
      </c>
    </row>
    <row r="18" spans="1:15" x14ac:dyDescent="0.3">
      <c r="A18">
        <v>1017</v>
      </c>
      <c r="B18">
        <v>18</v>
      </c>
      <c r="C18">
        <v>0</v>
      </c>
      <c r="D18">
        <v>3</v>
      </c>
      <c r="E18">
        <v>1</v>
      </c>
      <c r="F18">
        <v>10.098656081788</v>
      </c>
      <c r="G18">
        <v>14</v>
      </c>
      <c r="H18">
        <v>0</v>
      </c>
      <c r="I18">
        <v>2</v>
      </c>
      <c r="J18">
        <v>1</v>
      </c>
      <c r="K18">
        <v>1</v>
      </c>
      <c r="L18">
        <v>0</v>
      </c>
      <c r="M18">
        <v>0</v>
      </c>
      <c r="N18">
        <v>2.23217527771597</v>
      </c>
      <c r="O18">
        <v>3</v>
      </c>
    </row>
    <row r="19" spans="1:15" x14ac:dyDescent="0.3">
      <c r="A19">
        <v>1018</v>
      </c>
      <c r="B19">
        <v>18</v>
      </c>
      <c r="C19">
        <v>1</v>
      </c>
      <c r="D19">
        <v>0</v>
      </c>
      <c r="E19">
        <v>0</v>
      </c>
      <c r="F19">
        <v>3.52823820855772</v>
      </c>
      <c r="G19">
        <v>16</v>
      </c>
      <c r="H19">
        <v>1</v>
      </c>
      <c r="I19">
        <v>2</v>
      </c>
      <c r="J19">
        <v>0</v>
      </c>
      <c r="K19">
        <v>0</v>
      </c>
      <c r="L19">
        <v>0</v>
      </c>
      <c r="M19">
        <v>0</v>
      </c>
      <c r="N19">
        <v>1.38440417569403</v>
      </c>
      <c r="O19">
        <v>4</v>
      </c>
    </row>
    <row r="20" spans="1:15" x14ac:dyDescent="0.3">
      <c r="A20">
        <v>1019</v>
      </c>
      <c r="B20">
        <v>18</v>
      </c>
      <c r="C20">
        <v>0</v>
      </c>
      <c r="D20">
        <v>1</v>
      </c>
      <c r="E20">
        <v>3</v>
      </c>
      <c r="F20">
        <v>16.254658086093499</v>
      </c>
      <c r="G20">
        <v>29</v>
      </c>
      <c r="H20">
        <v>0</v>
      </c>
      <c r="I20">
        <v>2</v>
      </c>
      <c r="J20">
        <v>1</v>
      </c>
      <c r="K20">
        <v>0</v>
      </c>
      <c r="L20">
        <v>0</v>
      </c>
      <c r="M20">
        <v>1</v>
      </c>
      <c r="N20">
        <v>0.46955332337986999</v>
      </c>
      <c r="O20">
        <v>4</v>
      </c>
    </row>
    <row r="21" spans="1:15" x14ac:dyDescent="0.3">
      <c r="A21">
        <v>1020</v>
      </c>
      <c r="B21">
        <v>17</v>
      </c>
      <c r="C21">
        <v>0</v>
      </c>
      <c r="D21">
        <v>0</v>
      </c>
      <c r="E21">
        <v>1</v>
      </c>
      <c r="F21">
        <v>10.835206398820301</v>
      </c>
      <c r="G21">
        <v>9</v>
      </c>
      <c r="H21">
        <v>0</v>
      </c>
      <c r="I21">
        <v>2</v>
      </c>
      <c r="J21">
        <v>0</v>
      </c>
      <c r="K21">
        <v>0</v>
      </c>
      <c r="L21">
        <v>1</v>
      </c>
      <c r="M21">
        <v>0</v>
      </c>
      <c r="N21">
        <v>2.3957840945306899</v>
      </c>
      <c r="O21">
        <v>3</v>
      </c>
    </row>
    <row r="22" spans="1:15" x14ac:dyDescent="0.3">
      <c r="A22">
        <v>1021</v>
      </c>
      <c r="B22">
        <v>16</v>
      </c>
      <c r="C22">
        <v>1</v>
      </c>
      <c r="D22">
        <v>0</v>
      </c>
      <c r="E22">
        <v>3</v>
      </c>
      <c r="F22">
        <v>2.6215972340940601</v>
      </c>
      <c r="G22">
        <v>2</v>
      </c>
      <c r="H22">
        <v>0</v>
      </c>
      <c r="I22">
        <v>3</v>
      </c>
      <c r="J22">
        <v>0</v>
      </c>
      <c r="K22">
        <v>0</v>
      </c>
      <c r="L22">
        <v>0</v>
      </c>
      <c r="M22">
        <v>1</v>
      </c>
      <c r="N22">
        <v>2.7784112999206498</v>
      </c>
      <c r="O22">
        <v>2</v>
      </c>
    </row>
    <row r="23" spans="1:15" x14ac:dyDescent="0.3">
      <c r="A23">
        <v>1022</v>
      </c>
      <c r="B23">
        <v>15</v>
      </c>
      <c r="C23">
        <v>0</v>
      </c>
      <c r="D23">
        <v>0</v>
      </c>
      <c r="E23">
        <v>2</v>
      </c>
      <c r="F23">
        <v>15.3231420316555</v>
      </c>
      <c r="G23">
        <v>25</v>
      </c>
      <c r="H23">
        <v>0</v>
      </c>
      <c r="I23">
        <v>1</v>
      </c>
      <c r="J23">
        <v>1</v>
      </c>
      <c r="K23">
        <v>0</v>
      </c>
      <c r="L23">
        <v>0</v>
      </c>
      <c r="M23">
        <v>0</v>
      </c>
      <c r="N23">
        <v>0.34689403670501401</v>
      </c>
      <c r="O23">
        <v>4</v>
      </c>
    </row>
    <row r="24" spans="1:15" x14ac:dyDescent="0.3">
      <c r="A24">
        <v>1023</v>
      </c>
      <c r="B24">
        <v>16</v>
      </c>
      <c r="C24">
        <v>1</v>
      </c>
      <c r="D24">
        <v>1</v>
      </c>
      <c r="E24">
        <v>0</v>
      </c>
      <c r="F24">
        <v>18.648879567546999</v>
      </c>
      <c r="G24">
        <v>29</v>
      </c>
      <c r="H24">
        <v>1</v>
      </c>
      <c r="I24">
        <v>1</v>
      </c>
      <c r="J24">
        <v>0</v>
      </c>
      <c r="K24">
        <v>0</v>
      </c>
      <c r="L24">
        <v>0</v>
      </c>
      <c r="M24">
        <v>0</v>
      </c>
      <c r="N24">
        <v>0.31254623052535402</v>
      </c>
      <c r="O24">
        <v>4</v>
      </c>
    </row>
    <row r="25" spans="1:15" x14ac:dyDescent="0.3">
      <c r="A25">
        <v>1024</v>
      </c>
      <c r="B25">
        <v>18</v>
      </c>
      <c r="C25">
        <v>1</v>
      </c>
      <c r="D25">
        <v>3</v>
      </c>
      <c r="E25">
        <v>4</v>
      </c>
      <c r="F25">
        <v>18.946137984739199</v>
      </c>
      <c r="G25">
        <v>20</v>
      </c>
      <c r="H25">
        <v>0</v>
      </c>
      <c r="I25">
        <v>2</v>
      </c>
      <c r="J25">
        <v>1</v>
      </c>
      <c r="K25">
        <v>0</v>
      </c>
      <c r="L25">
        <v>0</v>
      </c>
      <c r="M25">
        <v>0</v>
      </c>
      <c r="N25">
        <v>1.7701318767799701</v>
      </c>
      <c r="O25">
        <v>4</v>
      </c>
    </row>
    <row r="26" spans="1:15" x14ac:dyDescent="0.3">
      <c r="A26">
        <v>1025</v>
      </c>
      <c r="B26">
        <v>18</v>
      </c>
      <c r="C26">
        <v>1</v>
      </c>
      <c r="D26">
        <v>0</v>
      </c>
      <c r="E26">
        <v>1</v>
      </c>
      <c r="F26">
        <v>7.3803546482234497</v>
      </c>
      <c r="G26">
        <v>15</v>
      </c>
      <c r="H26">
        <v>0</v>
      </c>
      <c r="I26">
        <v>2</v>
      </c>
      <c r="J26">
        <v>0</v>
      </c>
      <c r="K26">
        <v>0</v>
      </c>
      <c r="L26">
        <v>0</v>
      </c>
      <c r="M26">
        <v>0</v>
      </c>
      <c r="N26">
        <v>1.5051556220362801</v>
      </c>
      <c r="O26">
        <v>4</v>
      </c>
    </row>
    <row r="27" spans="1:15" x14ac:dyDescent="0.3">
      <c r="A27">
        <v>1026</v>
      </c>
      <c r="B27">
        <v>16</v>
      </c>
      <c r="C27">
        <v>1</v>
      </c>
      <c r="D27">
        <v>0</v>
      </c>
      <c r="E27">
        <v>3</v>
      </c>
      <c r="F27">
        <v>2.7103374712150798</v>
      </c>
      <c r="G27">
        <v>5</v>
      </c>
      <c r="H27">
        <v>0</v>
      </c>
      <c r="I27">
        <v>4</v>
      </c>
      <c r="J27">
        <v>0</v>
      </c>
      <c r="K27">
        <v>0</v>
      </c>
      <c r="L27">
        <v>1</v>
      </c>
      <c r="M27">
        <v>0</v>
      </c>
      <c r="N27">
        <v>2.9778519183157401</v>
      </c>
      <c r="O27">
        <v>2</v>
      </c>
    </row>
    <row r="28" spans="1:15" x14ac:dyDescent="0.3">
      <c r="A28">
        <v>1027</v>
      </c>
      <c r="B28">
        <v>16</v>
      </c>
      <c r="C28">
        <v>0</v>
      </c>
      <c r="D28">
        <v>0</v>
      </c>
      <c r="E28">
        <v>1</v>
      </c>
      <c r="F28">
        <v>10.367992532661299</v>
      </c>
      <c r="G28">
        <v>2</v>
      </c>
      <c r="H28">
        <v>0</v>
      </c>
      <c r="I28">
        <v>2</v>
      </c>
      <c r="J28">
        <v>0</v>
      </c>
      <c r="K28">
        <v>1</v>
      </c>
      <c r="L28">
        <v>0</v>
      </c>
      <c r="M28">
        <v>0</v>
      </c>
      <c r="N28">
        <v>2.9487176719119201</v>
      </c>
      <c r="O28">
        <v>2</v>
      </c>
    </row>
    <row r="29" spans="1:15" x14ac:dyDescent="0.3">
      <c r="A29">
        <v>1028</v>
      </c>
      <c r="B29">
        <v>16</v>
      </c>
      <c r="C29">
        <v>1</v>
      </c>
      <c r="D29">
        <v>0</v>
      </c>
      <c r="E29">
        <v>3</v>
      </c>
      <c r="F29">
        <v>2.2521845869844102</v>
      </c>
      <c r="G29">
        <v>8</v>
      </c>
      <c r="H29">
        <v>0</v>
      </c>
      <c r="I29">
        <v>3</v>
      </c>
      <c r="J29">
        <v>0</v>
      </c>
      <c r="K29">
        <v>0</v>
      </c>
      <c r="L29">
        <v>1</v>
      </c>
      <c r="M29">
        <v>0</v>
      </c>
      <c r="N29">
        <v>2.14520472046719</v>
      </c>
      <c r="O29">
        <v>3</v>
      </c>
    </row>
    <row r="30" spans="1:15" x14ac:dyDescent="0.3">
      <c r="A30">
        <v>1029</v>
      </c>
      <c r="B30">
        <v>18</v>
      </c>
      <c r="C30">
        <v>0</v>
      </c>
      <c r="D30">
        <v>0</v>
      </c>
      <c r="E30">
        <v>0</v>
      </c>
      <c r="F30">
        <v>18.679748370252302</v>
      </c>
      <c r="G30">
        <v>10</v>
      </c>
      <c r="H30">
        <v>0</v>
      </c>
      <c r="I30">
        <v>3</v>
      </c>
      <c r="J30">
        <v>1</v>
      </c>
      <c r="K30">
        <v>0</v>
      </c>
      <c r="L30">
        <v>0</v>
      </c>
      <c r="M30">
        <v>0</v>
      </c>
      <c r="N30">
        <v>2.8548039289813101</v>
      </c>
      <c r="O30">
        <v>2</v>
      </c>
    </row>
    <row r="31" spans="1:15" x14ac:dyDescent="0.3">
      <c r="A31">
        <v>1030</v>
      </c>
      <c r="B31">
        <v>18</v>
      </c>
      <c r="C31">
        <v>0</v>
      </c>
      <c r="D31">
        <v>0</v>
      </c>
      <c r="E31">
        <v>2</v>
      </c>
      <c r="F31">
        <v>3.6715925471029198</v>
      </c>
      <c r="G31">
        <v>20</v>
      </c>
      <c r="H31">
        <v>0</v>
      </c>
      <c r="I31">
        <v>3</v>
      </c>
      <c r="J31">
        <v>1</v>
      </c>
      <c r="K31">
        <v>0</v>
      </c>
      <c r="L31">
        <v>0</v>
      </c>
      <c r="M31">
        <v>0</v>
      </c>
      <c r="N31">
        <v>1.51944172581513</v>
      </c>
      <c r="O31">
        <v>4</v>
      </c>
    </row>
    <row r="32" spans="1:15" x14ac:dyDescent="0.3">
      <c r="A32">
        <v>1031</v>
      </c>
      <c r="B32">
        <v>15</v>
      </c>
      <c r="C32">
        <v>0</v>
      </c>
      <c r="D32">
        <v>2</v>
      </c>
      <c r="E32">
        <v>2</v>
      </c>
      <c r="F32">
        <v>5.0553171990232801</v>
      </c>
      <c r="G32">
        <v>12</v>
      </c>
      <c r="H32">
        <v>1</v>
      </c>
      <c r="I32">
        <v>0</v>
      </c>
      <c r="J32">
        <v>0</v>
      </c>
      <c r="K32">
        <v>1</v>
      </c>
      <c r="L32">
        <v>0</v>
      </c>
      <c r="M32">
        <v>0</v>
      </c>
      <c r="N32">
        <v>1.7271203095223999</v>
      </c>
      <c r="O32">
        <v>4</v>
      </c>
    </row>
    <row r="33" spans="1:15" x14ac:dyDescent="0.3">
      <c r="A33">
        <v>1032</v>
      </c>
      <c r="B33">
        <v>15</v>
      </c>
      <c r="C33">
        <v>0</v>
      </c>
      <c r="D33">
        <v>0</v>
      </c>
      <c r="E33">
        <v>3</v>
      </c>
      <c r="F33">
        <v>8.1327305376994001</v>
      </c>
      <c r="G33">
        <v>17</v>
      </c>
      <c r="H33">
        <v>0</v>
      </c>
      <c r="I33">
        <v>4</v>
      </c>
      <c r="J33">
        <v>0</v>
      </c>
      <c r="K33">
        <v>0</v>
      </c>
      <c r="L33">
        <v>0</v>
      </c>
      <c r="M33">
        <v>1</v>
      </c>
      <c r="N33">
        <v>1.8475354711387899</v>
      </c>
      <c r="O33">
        <v>4</v>
      </c>
    </row>
    <row r="34" spans="1:15" x14ac:dyDescent="0.3">
      <c r="A34">
        <v>1033</v>
      </c>
      <c r="B34">
        <v>18</v>
      </c>
      <c r="C34">
        <v>0</v>
      </c>
      <c r="D34">
        <v>0</v>
      </c>
      <c r="E34">
        <v>3</v>
      </c>
      <c r="F34">
        <v>7.6632893711825103</v>
      </c>
      <c r="G34">
        <v>25</v>
      </c>
      <c r="H34">
        <v>0</v>
      </c>
      <c r="I34">
        <v>1</v>
      </c>
      <c r="J34">
        <v>0</v>
      </c>
      <c r="K34">
        <v>1</v>
      </c>
      <c r="L34">
        <v>0</v>
      </c>
      <c r="M34">
        <v>0</v>
      </c>
      <c r="N34">
        <v>0.38461697285648699</v>
      </c>
      <c r="O34">
        <v>4</v>
      </c>
    </row>
    <row r="35" spans="1:15" x14ac:dyDescent="0.3">
      <c r="A35">
        <v>1034</v>
      </c>
      <c r="B35">
        <v>16</v>
      </c>
      <c r="C35">
        <v>0</v>
      </c>
      <c r="D35">
        <v>3</v>
      </c>
      <c r="E35">
        <v>3</v>
      </c>
      <c r="F35">
        <v>15.893257847957701</v>
      </c>
      <c r="G35">
        <v>21</v>
      </c>
      <c r="H35">
        <v>0</v>
      </c>
      <c r="I35">
        <v>0</v>
      </c>
      <c r="J35">
        <v>1</v>
      </c>
      <c r="K35">
        <v>1</v>
      </c>
      <c r="L35">
        <v>0</v>
      </c>
      <c r="M35">
        <v>0</v>
      </c>
      <c r="N35">
        <v>0.94940609779728002</v>
      </c>
      <c r="O35">
        <v>4</v>
      </c>
    </row>
    <row r="36" spans="1:15" x14ac:dyDescent="0.3">
      <c r="A36">
        <v>1035</v>
      </c>
      <c r="B36">
        <v>16</v>
      </c>
      <c r="C36">
        <v>0</v>
      </c>
      <c r="D36">
        <v>0</v>
      </c>
      <c r="E36">
        <v>3</v>
      </c>
      <c r="F36">
        <v>9.1263364110192402</v>
      </c>
      <c r="G36">
        <v>27</v>
      </c>
      <c r="H36">
        <v>1</v>
      </c>
      <c r="I36">
        <v>2</v>
      </c>
      <c r="J36">
        <v>1</v>
      </c>
      <c r="K36">
        <v>1</v>
      </c>
      <c r="L36">
        <v>0</v>
      </c>
      <c r="M36">
        <v>0</v>
      </c>
      <c r="N36">
        <v>1.14095941842033</v>
      </c>
      <c r="O36">
        <v>4</v>
      </c>
    </row>
    <row r="37" spans="1:15" x14ac:dyDescent="0.3">
      <c r="A37">
        <v>1036</v>
      </c>
      <c r="B37">
        <v>15</v>
      </c>
      <c r="C37">
        <v>0</v>
      </c>
      <c r="D37">
        <v>3</v>
      </c>
      <c r="E37">
        <v>1</v>
      </c>
      <c r="F37">
        <v>3.4153652000667298</v>
      </c>
      <c r="G37">
        <v>23</v>
      </c>
      <c r="H37">
        <v>0</v>
      </c>
      <c r="I37">
        <v>1</v>
      </c>
      <c r="J37">
        <v>0</v>
      </c>
      <c r="K37">
        <v>0</v>
      </c>
      <c r="L37">
        <v>0</v>
      </c>
      <c r="M37">
        <v>0</v>
      </c>
      <c r="N37">
        <v>0.26147226005075203</v>
      </c>
      <c r="O37">
        <v>4</v>
      </c>
    </row>
    <row r="38" spans="1:15" x14ac:dyDescent="0.3">
      <c r="A38">
        <v>1037</v>
      </c>
      <c r="B38">
        <v>18</v>
      </c>
      <c r="C38">
        <v>0</v>
      </c>
      <c r="D38">
        <v>0</v>
      </c>
      <c r="E38">
        <v>1</v>
      </c>
      <c r="F38">
        <v>5.3441979097214798</v>
      </c>
      <c r="G38">
        <v>26</v>
      </c>
      <c r="H38">
        <v>1</v>
      </c>
      <c r="I38">
        <v>1</v>
      </c>
      <c r="J38">
        <v>0</v>
      </c>
      <c r="K38">
        <v>0</v>
      </c>
      <c r="L38">
        <v>0</v>
      </c>
      <c r="M38">
        <v>0</v>
      </c>
      <c r="N38">
        <v>0.21828485682103099</v>
      </c>
      <c r="O38">
        <v>4</v>
      </c>
    </row>
    <row r="39" spans="1:15" x14ac:dyDescent="0.3">
      <c r="A39">
        <v>1038</v>
      </c>
      <c r="B39">
        <v>15</v>
      </c>
      <c r="C39">
        <v>0</v>
      </c>
      <c r="D39">
        <v>2</v>
      </c>
      <c r="E39">
        <v>1</v>
      </c>
      <c r="F39">
        <v>10.1822677037504</v>
      </c>
      <c r="G39">
        <v>21</v>
      </c>
      <c r="H39">
        <v>1</v>
      </c>
      <c r="I39">
        <v>1</v>
      </c>
      <c r="J39">
        <v>0</v>
      </c>
      <c r="K39">
        <v>1</v>
      </c>
      <c r="L39">
        <v>0</v>
      </c>
      <c r="M39">
        <v>0</v>
      </c>
      <c r="N39">
        <v>1.0677635510419701</v>
      </c>
      <c r="O39">
        <v>4</v>
      </c>
    </row>
    <row r="40" spans="1:15" x14ac:dyDescent="0.3">
      <c r="A40">
        <v>1039</v>
      </c>
      <c r="B40">
        <v>15</v>
      </c>
      <c r="C40">
        <v>1</v>
      </c>
      <c r="D40">
        <v>1</v>
      </c>
      <c r="E40">
        <v>1</v>
      </c>
      <c r="F40">
        <v>2.9490783485226899</v>
      </c>
      <c r="G40">
        <v>3</v>
      </c>
      <c r="H40">
        <v>1</v>
      </c>
      <c r="I40">
        <v>1</v>
      </c>
      <c r="J40">
        <v>1</v>
      </c>
      <c r="K40">
        <v>1</v>
      </c>
      <c r="L40">
        <v>0</v>
      </c>
      <c r="M40">
        <v>0</v>
      </c>
      <c r="N40">
        <v>3.01890585842796</v>
      </c>
      <c r="O40">
        <v>1</v>
      </c>
    </row>
    <row r="41" spans="1:15" x14ac:dyDescent="0.3">
      <c r="A41">
        <v>1040</v>
      </c>
      <c r="B41">
        <v>17</v>
      </c>
      <c r="C41">
        <v>1</v>
      </c>
      <c r="D41">
        <v>2</v>
      </c>
      <c r="E41">
        <v>1</v>
      </c>
      <c r="F41">
        <v>12.2331135129202</v>
      </c>
      <c r="G41">
        <v>21</v>
      </c>
      <c r="H41">
        <v>1</v>
      </c>
      <c r="I41">
        <v>3</v>
      </c>
      <c r="J41">
        <v>1</v>
      </c>
      <c r="K41">
        <v>1</v>
      </c>
      <c r="L41">
        <v>0</v>
      </c>
      <c r="M41">
        <v>0</v>
      </c>
      <c r="N41">
        <v>1.52686783179272</v>
      </c>
      <c r="O41">
        <v>4</v>
      </c>
    </row>
    <row r="42" spans="1:15" x14ac:dyDescent="0.3">
      <c r="A42">
        <v>1041</v>
      </c>
      <c r="B42">
        <v>17</v>
      </c>
      <c r="C42">
        <v>1</v>
      </c>
      <c r="D42">
        <v>3</v>
      </c>
      <c r="E42">
        <v>2</v>
      </c>
      <c r="F42">
        <v>11.3149461310229</v>
      </c>
      <c r="G42">
        <v>23</v>
      </c>
      <c r="H42">
        <v>1</v>
      </c>
      <c r="I42">
        <v>1</v>
      </c>
      <c r="J42">
        <v>0</v>
      </c>
      <c r="K42">
        <v>0</v>
      </c>
      <c r="L42">
        <v>0</v>
      </c>
      <c r="M42">
        <v>0</v>
      </c>
      <c r="N42">
        <v>1.0582873996898601</v>
      </c>
      <c r="O42">
        <v>4</v>
      </c>
    </row>
    <row r="43" spans="1:15" x14ac:dyDescent="0.3">
      <c r="A43">
        <v>1042</v>
      </c>
      <c r="B43">
        <v>17</v>
      </c>
      <c r="C43">
        <v>0</v>
      </c>
      <c r="D43">
        <v>0</v>
      </c>
      <c r="E43">
        <v>1</v>
      </c>
      <c r="F43">
        <v>14.2940463276451</v>
      </c>
      <c r="G43">
        <v>7</v>
      </c>
      <c r="H43">
        <v>0</v>
      </c>
      <c r="I43">
        <v>2</v>
      </c>
      <c r="J43">
        <v>0</v>
      </c>
      <c r="K43">
        <v>0</v>
      </c>
      <c r="L43">
        <v>0</v>
      </c>
      <c r="M43">
        <v>0</v>
      </c>
      <c r="N43">
        <v>2.62512809773223</v>
      </c>
      <c r="O43">
        <v>2</v>
      </c>
    </row>
    <row r="44" spans="1:15" x14ac:dyDescent="0.3">
      <c r="A44">
        <v>1043</v>
      </c>
      <c r="B44">
        <v>16</v>
      </c>
      <c r="C44">
        <v>1</v>
      </c>
      <c r="D44">
        <v>3</v>
      </c>
      <c r="E44">
        <v>2</v>
      </c>
      <c r="F44">
        <v>18.7540923075873</v>
      </c>
      <c r="G44">
        <v>12</v>
      </c>
      <c r="H44">
        <v>1</v>
      </c>
      <c r="I44">
        <v>4</v>
      </c>
      <c r="J44">
        <v>0</v>
      </c>
      <c r="K44">
        <v>0</v>
      </c>
      <c r="L44">
        <v>0</v>
      </c>
      <c r="M44">
        <v>0</v>
      </c>
      <c r="N44">
        <v>2.80875482202865</v>
      </c>
      <c r="O44">
        <v>2</v>
      </c>
    </row>
    <row r="45" spans="1:15" x14ac:dyDescent="0.3">
      <c r="A45">
        <v>1044</v>
      </c>
      <c r="B45">
        <v>18</v>
      </c>
      <c r="C45">
        <v>1</v>
      </c>
      <c r="D45">
        <v>0</v>
      </c>
      <c r="E45">
        <v>1</v>
      </c>
      <c r="F45">
        <v>18.245091222023099</v>
      </c>
      <c r="G45">
        <v>9</v>
      </c>
      <c r="H45">
        <v>0</v>
      </c>
      <c r="I45">
        <v>2</v>
      </c>
      <c r="J45">
        <v>0</v>
      </c>
      <c r="K45">
        <v>1</v>
      </c>
      <c r="L45">
        <v>0</v>
      </c>
      <c r="M45">
        <v>0</v>
      </c>
      <c r="N45">
        <v>2.8888916692724398</v>
      </c>
      <c r="O45">
        <v>2</v>
      </c>
    </row>
    <row r="46" spans="1:15" x14ac:dyDescent="0.3">
      <c r="A46">
        <v>1045</v>
      </c>
      <c r="B46">
        <v>18</v>
      </c>
      <c r="C46">
        <v>1</v>
      </c>
      <c r="D46">
        <v>0</v>
      </c>
      <c r="E46">
        <v>1</v>
      </c>
      <c r="F46">
        <v>18.9215123613766</v>
      </c>
      <c r="G46">
        <v>1</v>
      </c>
      <c r="H46">
        <v>1</v>
      </c>
      <c r="I46">
        <v>3</v>
      </c>
      <c r="J46">
        <v>1</v>
      </c>
      <c r="K46">
        <v>1</v>
      </c>
      <c r="L46">
        <v>0</v>
      </c>
      <c r="M46">
        <v>0</v>
      </c>
      <c r="N46">
        <v>4</v>
      </c>
      <c r="O46">
        <v>0</v>
      </c>
    </row>
    <row r="47" spans="1:15" x14ac:dyDescent="0.3">
      <c r="A47">
        <v>1046</v>
      </c>
      <c r="B47">
        <v>18</v>
      </c>
      <c r="C47">
        <v>0</v>
      </c>
      <c r="D47">
        <v>0</v>
      </c>
      <c r="E47">
        <v>2</v>
      </c>
      <c r="F47">
        <v>4.8943119404740099</v>
      </c>
      <c r="G47">
        <v>7</v>
      </c>
      <c r="H47">
        <v>0</v>
      </c>
      <c r="I47">
        <v>4</v>
      </c>
      <c r="J47">
        <v>0</v>
      </c>
      <c r="K47">
        <v>0</v>
      </c>
      <c r="L47">
        <v>1</v>
      </c>
      <c r="M47">
        <v>0</v>
      </c>
      <c r="N47">
        <v>2.5153002722562401</v>
      </c>
      <c r="O47">
        <v>2</v>
      </c>
    </row>
    <row r="48" spans="1:15" x14ac:dyDescent="0.3">
      <c r="A48">
        <v>1047</v>
      </c>
      <c r="B48">
        <v>18</v>
      </c>
      <c r="C48">
        <v>0</v>
      </c>
      <c r="D48">
        <v>1</v>
      </c>
      <c r="E48">
        <v>2</v>
      </c>
      <c r="F48">
        <v>2.6313061327870901</v>
      </c>
      <c r="G48">
        <v>5</v>
      </c>
      <c r="H48">
        <v>0</v>
      </c>
      <c r="I48">
        <v>1</v>
      </c>
      <c r="J48">
        <v>1</v>
      </c>
      <c r="K48">
        <v>0</v>
      </c>
      <c r="L48">
        <v>0</v>
      </c>
      <c r="M48">
        <v>0</v>
      </c>
      <c r="N48">
        <v>2.5637654300150898</v>
      </c>
      <c r="O48">
        <v>2</v>
      </c>
    </row>
    <row r="49" spans="1:15" x14ac:dyDescent="0.3">
      <c r="A49">
        <v>1048</v>
      </c>
      <c r="B49">
        <v>17</v>
      </c>
      <c r="C49">
        <v>0</v>
      </c>
      <c r="D49">
        <v>0</v>
      </c>
      <c r="E49">
        <v>2</v>
      </c>
      <c r="F49">
        <v>6.0455340099289696</v>
      </c>
      <c r="G49">
        <v>15</v>
      </c>
      <c r="H49">
        <v>0</v>
      </c>
      <c r="I49">
        <v>2</v>
      </c>
      <c r="J49">
        <v>0</v>
      </c>
      <c r="K49">
        <v>0</v>
      </c>
      <c r="L49">
        <v>0</v>
      </c>
      <c r="M49">
        <v>0</v>
      </c>
      <c r="N49">
        <v>1.7036118032323599</v>
      </c>
      <c r="O49">
        <v>4</v>
      </c>
    </row>
    <row r="50" spans="1:15" x14ac:dyDescent="0.3">
      <c r="A50">
        <v>1049</v>
      </c>
      <c r="B50">
        <v>16</v>
      </c>
      <c r="C50">
        <v>0</v>
      </c>
      <c r="D50">
        <v>1</v>
      </c>
      <c r="E50">
        <v>2</v>
      </c>
      <c r="F50">
        <v>17.901703455326199</v>
      </c>
      <c r="G50">
        <v>17</v>
      </c>
      <c r="H50">
        <v>0</v>
      </c>
      <c r="I50">
        <v>3</v>
      </c>
      <c r="J50">
        <v>0</v>
      </c>
      <c r="K50">
        <v>0</v>
      </c>
      <c r="L50">
        <v>1</v>
      </c>
      <c r="M50">
        <v>0</v>
      </c>
      <c r="N50">
        <v>2.0998851567205801</v>
      </c>
      <c r="O50">
        <v>3</v>
      </c>
    </row>
    <row r="51" spans="1:15" x14ac:dyDescent="0.3">
      <c r="A51">
        <v>1050</v>
      </c>
      <c r="B51">
        <v>16</v>
      </c>
      <c r="C51">
        <v>1</v>
      </c>
      <c r="D51">
        <v>1</v>
      </c>
      <c r="E51">
        <v>1</v>
      </c>
      <c r="F51">
        <v>19.441069492469701</v>
      </c>
      <c r="G51">
        <v>16</v>
      </c>
      <c r="H51">
        <v>0</v>
      </c>
      <c r="I51">
        <v>4</v>
      </c>
      <c r="J51">
        <v>1</v>
      </c>
      <c r="K51">
        <v>0</v>
      </c>
      <c r="L51">
        <v>0</v>
      </c>
      <c r="M51">
        <v>0</v>
      </c>
      <c r="N51">
        <v>2.4610469629080902</v>
      </c>
      <c r="O51">
        <v>3</v>
      </c>
    </row>
    <row r="52" spans="1:15" x14ac:dyDescent="0.3">
      <c r="A52">
        <v>1051</v>
      </c>
      <c r="B52">
        <v>17</v>
      </c>
      <c r="C52">
        <v>1</v>
      </c>
      <c r="D52">
        <v>2</v>
      </c>
      <c r="E52">
        <v>2</v>
      </c>
      <c r="F52">
        <v>17.186499021409499</v>
      </c>
      <c r="G52">
        <v>5</v>
      </c>
      <c r="H52">
        <v>0</v>
      </c>
      <c r="I52">
        <v>3</v>
      </c>
      <c r="J52">
        <v>0</v>
      </c>
      <c r="K52">
        <v>0</v>
      </c>
      <c r="L52">
        <v>0</v>
      </c>
      <c r="M52">
        <v>0</v>
      </c>
      <c r="N52">
        <v>2.9354771916946301</v>
      </c>
      <c r="O52">
        <v>2</v>
      </c>
    </row>
    <row r="53" spans="1:15" x14ac:dyDescent="0.3">
      <c r="A53">
        <v>1052</v>
      </c>
      <c r="B53">
        <v>16</v>
      </c>
      <c r="C53">
        <v>1</v>
      </c>
      <c r="D53">
        <v>2</v>
      </c>
      <c r="E53">
        <v>0</v>
      </c>
      <c r="F53">
        <v>2.2003544225508702</v>
      </c>
      <c r="G53">
        <v>12</v>
      </c>
      <c r="H53">
        <v>1</v>
      </c>
      <c r="I53">
        <v>1</v>
      </c>
      <c r="J53">
        <v>1</v>
      </c>
      <c r="K53">
        <v>0</v>
      </c>
      <c r="L53">
        <v>1</v>
      </c>
      <c r="M53">
        <v>0</v>
      </c>
      <c r="N53">
        <v>1.9863780592187401</v>
      </c>
      <c r="O53">
        <v>4</v>
      </c>
    </row>
    <row r="54" spans="1:15" x14ac:dyDescent="0.3">
      <c r="A54">
        <v>1053</v>
      </c>
      <c r="B54">
        <v>17</v>
      </c>
      <c r="C54">
        <v>1</v>
      </c>
      <c r="D54">
        <v>0</v>
      </c>
      <c r="E54">
        <v>1</v>
      </c>
      <c r="F54">
        <v>18.948559961195802</v>
      </c>
      <c r="G54">
        <v>22</v>
      </c>
      <c r="H54">
        <v>0</v>
      </c>
      <c r="I54">
        <v>4</v>
      </c>
      <c r="J54">
        <v>0</v>
      </c>
      <c r="K54">
        <v>0</v>
      </c>
      <c r="L54">
        <v>1</v>
      </c>
      <c r="M54">
        <v>0</v>
      </c>
      <c r="N54">
        <v>1.57154419139928</v>
      </c>
      <c r="O54">
        <v>4</v>
      </c>
    </row>
    <row r="55" spans="1:15" x14ac:dyDescent="0.3">
      <c r="A55">
        <v>1054</v>
      </c>
      <c r="B55">
        <v>18</v>
      </c>
      <c r="C55">
        <v>0</v>
      </c>
      <c r="D55">
        <v>0</v>
      </c>
      <c r="E55">
        <v>2</v>
      </c>
      <c r="F55">
        <v>8.4671605470157196</v>
      </c>
      <c r="G55">
        <v>13</v>
      </c>
      <c r="H55">
        <v>0</v>
      </c>
      <c r="I55">
        <v>1</v>
      </c>
      <c r="J55">
        <v>0</v>
      </c>
      <c r="K55">
        <v>1</v>
      </c>
      <c r="L55">
        <v>0</v>
      </c>
      <c r="M55">
        <v>0</v>
      </c>
      <c r="N55">
        <v>1.66431068966108</v>
      </c>
      <c r="O55">
        <v>4</v>
      </c>
    </row>
    <row r="56" spans="1:15" x14ac:dyDescent="0.3">
      <c r="A56">
        <v>1055</v>
      </c>
      <c r="B56">
        <v>17</v>
      </c>
      <c r="C56">
        <v>0</v>
      </c>
      <c r="D56">
        <v>0</v>
      </c>
      <c r="E56">
        <v>0</v>
      </c>
      <c r="F56">
        <v>0.186205815247073</v>
      </c>
      <c r="G56">
        <v>29</v>
      </c>
      <c r="H56">
        <v>1</v>
      </c>
      <c r="I56">
        <v>2</v>
      </c>
      <c r="J56">
        <v>1</v>
      </c>
      <c r="K56">
        <v>1</v>
      </c>
      <c r="L56">
        <v>0</v>
      </c>
      <c r="M56">
        <v>0</v>
      </c>
      <c r="N56">
        <v>0.75625916657419201</v>
      </c>
      <c r="O56">
        <v>4</v>
      </c>
    </row>
    <row r="57" spans="1:15" x14ac:dyDescent="0.3">
      <c r="A57">
        <v>1056</v>
      </c>
      <c r="B57">
        <v>18</v>
      </c>
      <c r="C57">
        <v>0</v>
      </c>
      <c r="D57">
        <v>0</v>
      </c>
      <c r="E57">
        <v>1</v>
      </c>
      <c r="F57">
        <v>8.8478748149638697</v>
      </c>
      <c r="G57">
        <v>25</v>
      </c>
      <c r="H57">
        <v>0</v>
      </c>
      <c r="I57">
        <v>2</v>
      </c>
      <c r="J57">
        <v>0</v>
      </c>
      <c r="K57">
        <v>1</v>
      </c>
      <c r="L57">
        <v>0</v>
      </c>
      <c r="M57">
        <v>0</v>
      </c>
      <c r="N57">
        <v>0.80276953923420702</v>
      </c>
      <c r="O57">
        <v>4</v>
      </c>
    </row>
    <row r="58" spans="1:15" x14ac:dyDescent="0.3">
      <c r="A58">
        <v>1057</v>
      </c>
      <c r="B58">
        <v>18</v>
      </c>
      <c r="C58">
        <v>1</v>
      </c>
      <c r="D58">
        <v>0</v>
      </c>
      <c r="E58">
        <v>4</v>
      </c>
      <c r="F58">
        <v>0.92138339350935095</v>
      </c>
      <c r="G58">
        <v>20</v>
      </c>
      <c r="H58">
        <v>0</v>
      </c>
      <c r="I58">
        <v>2</v>
      </c>
      <c r="J58">
        <v>0</v>
      </c>
      <c r="K58">
        <v>1</v>
      </c>
      <c r="L58">
        <v>1</v>
      </c>
      <c r="M58">
        <v>0</v>
      </c>
      <c r="N58">
        <v>1.3423871779577301</v>
      </c>
      <c r="O58">
        <v>4</v>
      </c>
    </row>
    <row r="59" spans="1:15" x14ac:dyDescent="0.3">
      <c r="A59">
        <v>1058</v>
      </c>
      <c r="B59">
        <v>15</v>
      </c>
      <c r="C59">
        <v>0</v>
      </c>
      <c r="D59">
        <v>0</v>
      </c>
      <c r="E59">
        <v>4</v>
      </c>
      <c r="F59">
        <v>10.8775584232223</v>
      </c>
      <c r="G59">
        <v>29</v>
      </c>
      <c r="H59">
        <v>0</v>
      </c>
      <c r="I59">
        <v>3</v>
      </c>
      <c r="J59">
        <v>1</v>
      </c>
      <c r="K59">
        <v>0</v>
      </c>
      <c r="L59">
        <v>0</v>
      </c>
      <c r="M59">
        <v>0</v>
      </c>
      <c r="N59">
        <v>0.28657128828662198</v>
      </c>
      <c r="O59">
        <v>4</v>
      </c>
    </row>
    <row r="60" spans="1:15" x14ac:dyDescent="0.3">
      <c r="A60">
        <v>1059</v>
      </c>
      <c r="B60">
        <v>17</v>
      </c>
      <c r="C60">
        <v>0</v>
      </c>
      <c r="D60">
        <v>0</v>
      </c>
      <c r="E60">
        <v>1</v>
      </c>
      <c r="F60">
        <v>6.7710805487410202</v>
      </c>
      <c r="G60">
        <v>9</v>
      </c>
      <c r="H60">
        <v>1</v>
      </c>
      <c r="I60">
        <v>3</v>
      </c>
      <c r="J60">
        <v>0</v>
      </c>
      <c r="K60">
        <v>1</v>
      </c>
      <c r="L60">
        <v>0</v>
      </c>
      <c r="M60">
        <v>0</v>
      </c>
      <c r="N60">
        <v>2.6138386936736699</v>
      </c>
      <c r="O60">
        <v>2</v>
      </c>
    </row>
    <row r="61" spans="1:15" x14ac:dyDescent="0.3">
      <c r="A61">
        <v>1060</v>
      </c>
      <c r="B61">
        <v>15</v>
      </c>
      <c r="C61">
        <v>1</v>
      </c>
      <c r="D61">
        <v>3</v>
      </c>
      <c r="E61">
        <v>0</v>
      </c>
      <c r="F61">
        <v>9.4686986718809703</v>
      </c>
      <c r="G61">
        <v>23</v>
      </c>
      <c r="H61">
        <v>0</v>
      </c>
      <c r="I61">
        <v>3</v>
      </c>
      <c r="J61">
        <v>0</v>
      </c>
      <c r="K61">
        <v>1</v>
      </c>
      <c r="L61">
        <v>0</v>
      </c>
      <c r="M61">
        <v>0</v>
      </c>
      <c r="N61">
        <v>0.92901255462593602</v>
      </c>
      <c r="O61">
        <v>4</v>
      </c>
    </row>
    <row r="62" spans="1:15" x14ac:dyDescent="0.3">
      <c r="A62">
        <v>1061</v>
      </c>
      <c r="B62">
        <v>17</v>
      </c>
      <c r="C62">
        <v>1</v>
      </c>
      <c r="D62">
        <v>1</v>
      </c>
      <c r="E62">
        <v>1</v>
      </c>
      <c r="F62">
        <v>12.263407214862299</v>
      </c>
      <c r="G62">
        <v>10</v>
      </c>
      <c r="H62">
        <v>0</v>
      </c>
      <c r="I62">
        <v>0</v>
      </c>
      <c r="J62">
        <v>1</v>
      </c>
      <c r="K62">
        <v>0</v>
      </c>
      <c r="L62">
        <v>1</v>
      </c>
      <c r="M62">
        <v>0</v>
      </c>
      <c r="N62">
        <v>1.8927586959265901</v>
      </c>
      <c r="O62">
        <v>4</v>
      </c>
    </row>
    <row r="63" spans="1:15" x14ac:dyDescent="0.3">
      <c r="A63">
        <v>1062</v>
      </c>
      <c r="B63">
        <v>17</v>
      </c>
      <c r="C63">
        <v>0</v>
      </c>
      <c r="D63">
        <v>0</v>
      </c>
      <c r="E63">
        <v>1</v>
      </c>
      <c r="F63">
        <v>17.3760219163564</v>
      </c>
      <c r="G63">
        <v>12</v>
      </c>
      <c r="H63">
        <v>0</v>
      </c>
      <c r="I63">
        <v>2</v>
      </c>
      <c r="J63">
        <v>0</v>
      </c>
      <c r="K63">
        <v>0</v>
      </c>
      <c r="L63">
        <v>1</v>
      </c>
      <c r="M63">
        <v>0</v>
      </c>
      <c r="N63">
        <v>2.3312615493087501</v>
      </c>
      <c r="O63">
        <v>3</v>
      </c>
    </row>
    <row r="64" spans="1:15" x14ac:dyDescent="0.3">
      <c r="A64">
        <v>1063</v>
      </c>
      <c r="B64">
        <v>15</v>
      </c>
      <c r="C64">
        <v>0</v>
      </c>
      <c r="D64">
        <v>1</v>
      </c>
      <c r="E64">
        <v>3</v>
      </c>
      <c r="F64">
        <v>13.2380315294385</v>
      </c>
      <c r="G64">
        <v>11</v>
      </c>
      <c r="H64">
        <v>0</v>
      </c>
      <c r="I64">
        <v>3</v>
      </c>
      <c r="J64">
        <v>0</v>
      </c>
      <c r="K64">
        <v>1</v>
      </c>
      <c r="L64">
        <v>0</v>
      </c>
      <c r="M64">
        <v>0</v>
      </c>
      <c r="N64">
        <v>2.23423847260023</v>
      </c>
      <c r="O64">
        <v>3</v>
      </c>
    </row>
    <row r="65" spans="1:15" x14ac:dyDescent="0.3">
      <c r="A65">
        <v>1064</v>
      </c>
      <c r="B65">
        <v>15</v>
      </c>
      <c r="C65">
        <v>0</v>
      </c>
      <c r="D65">
        <v>0</v>
      </c>
      <c r="E65">
        <v>1</v>
      </c>
      <c r="F65">
        <v>8.6809773695636103</v>
      </c>
      <c r="G65">
        <v>8</v>
      </c>
      <c r="H65">
        <v>0</v>
      </c>
      <c r="I65">
        <v>2</v>
      </c>
      <c r="J65">
        <v>0</v>
      </c>
      <c r="K65">
        <v>1</v>
      </c>
      <c r="L65">
        <v>0</v>
      </c>
      <c r="M65">
        <v>0</v>
      </c>
      <c r="N65">
        <v>2.3858282190764601</v>
      </c>
      <c r="O65">
        <v>3</v>
      </c>
    </row>
    <row r="66" spans="1:15" x14ac:dyDescent="0.3">
      <c r="A66">
        <v>1065</v>
      </c>
      <c r="B66">
        <v>17</v>
      </c>
      <c r="C66">
        <v>0</v>
      </c>
      <c r="D66">
        <v>0</v>
      </c>
      <c r="E66">
        <v>2</v>
      </c>
      <c r="F66">
        <v>16.388557073407299</v>
      </c>
      <c r="G66">
        <v>3</v>
      </c>
      <c r="H66">
        <v>1</v>
      </c>
      <c r="I66">
        <v>4</v>
      </c>
      <c r="J66">
        <v>0</v>
      </c>
      <c r="K66">
        <v>0</v>
      </c>
      <c r="L66">
        <v>0</v>
      </c>
      <c r="M66">
        <v>0</v>
      </c>
      <c r="N66">
        <v>3.3473567435078002</v>
      </c>
      <c r="O66">
        <v>1</v>
      </c>
    </row>
    <row r="67" spans="1:15" x14ac:dyDescent="0.3">
      <c r="A67">
        <v>1066</v>
      </c>
      <c r="B67">
        <v>16</v>
      </c>
      <c r="C67">
        <v>0</v>
      </c>
      <c r="D67">
        <v>1</v>
      </c>
      <c r="E67">
        <v>1</v>
      </c>
      <c r="F67">
        <v>18.1116427514626</v>
      </c>
      <c r="G67">
        <v>6</v>
      </c>
      <c r="H67">
        <v>1</v>
      </c>
      <c r="I67">
        <v>3</v>
      </c>
      <c r="J67">
        <v>1</v>
      </c>
      <c r="K67">
        <v>0</v>
      </c>
      <c r="L67">
        <v>0</v>
      </c>
      <c r="M67">
        <v>0</v>
      </c>
      <c r="N67">
        <v>3.2618553073332901</v>
      </c>
      <c r="O67">
        <v>1</v>
      </c>
    </row>
    <row r="68" spans="1:15" x14ac:dyDescent="0.3">
      <c r="A68">
        <v>1067</v>
      </c>
      <c r="B68">
        <v>18</v>
      </c>
      <c r="C68">
        <v>0</v>
      </c>
      <c r="D68">
        <v>0</v>
      </c>
      <c r="E68">
        <v>4</v>
      </c>
      <c r="F68">
        <v>2.3951993286439399</v>
      </c>
      <c r="G68">
        <v>23</v>
      </c>
      <c r="H68">
        <v>0</v>
      </c>
      <c r="I68">
        <v>3</v>
      </c>
      <c r="J68">
        <v>0</v>
      </c>
      <c r="K68">
        <v>1</v>
      </c>
      <c r="L68">
        <v>0</v>
      </c>
      <c r="M68">
        <v>0</v>
      </c>
      <c r="N68">
        <v>1.0396238791477099</v>
      </c>
      <c r="O68">
        <v>4</v>
      </c>
    </row>
    <row r="69" spans="1:15" x14ac:dyDescent="0.3">
      <c r="A69">
        <v>1068</v>
      </c>
      <c r="B69">
        <v>15</v>
      </c>
      <c r="C69">
        <v>1</v>
      </c>
      <c r="D69">
        <v>0</v>
      </c>
      <c r="E69">
        <v>1</v>
      </c>
      <c r="F69">
        <v>10.638659551055801</v>
      </c>
      <c r="G69">
        <v>28</v>
      </c>
      <c r="H69">
        <v>0</v>
      </c>
      <c r="I69">
        <v>0</v>
      </c>
      <c r="J69">
        <v>0</v>
      </c>
      <c r="K69">
        <v>1</v>
      </c>
      <c r="L69">
        <v>0</v>
      </c>
      <c r="M69">
        <v>0</v>
      </c>
      <c r="N69">
        <v>2.7818624732467899E-2</v>
      </c>
      <c r="O69">
        <v>4</v>
      </c>
    </row>
    <row r="70" spans="1:15" x14ac:dyDescent="0.3">
      <c r="A70">
        <v>1069</v>
      </c>
      <c r="B70">
        <v>18</v>
      </c>
      <c r="C70">
        <v>1</v>
      </c>
      <c r="D70">
        <v>3</v>
      </c>
      <c r="E70">
        <v>2</v>
      </c>
      <c r="F70">
        <v>5.6902391948488802</v>
      </c>
      <c r="G70">
        <v>21</v>
      </c>
      <c r="H70">
        <v>1</v>
      </c>
      <c r="I70">
        <v>3</v>
      </c>
      <c r="J70">
        <v>0</v>
      </c>
      <c r="K70">
        <v>0</v>
      </c>
      <c r="L70">
        <v>1</v>
      </c>
      <c r="M70">
        <v>0</v>
      </c>
      <c r="N70">
        <v>1.3299645378768701</v>
      </c>
      <c r="O70">
        <v>4</v>
      </c>
    </row>
    <row r="71" spans="1:15" x14ac:dyDescent="0.3">
      <c r="A71">
        <v>1070</v>
      </c>
      <c r="B71">
        <v>16</v>
      </c>
      <c r="C71">
        <v>1</v>
      </c>
      <c r="D71">
        <v>2</v>
      </c>
      <c r="E71">
        <v>1</v>
      </c>
      <c r="F71">
        <v>0.94122395753894805</v>
      </c>
      <c r="G71">
        <v>1</v>
      </c>
      <c r="H71">
        <v>0</v>
      </c>
      <c r="I71">
        <v>4</v>
      </c>
      <c r="J71">
        <v>0</v>
      </c>
      <c r="K71">
        <v>0</v>
      </c>
      <c r="L71">
        <v>1</v>
      </c>
      <c r="M71">
        <v>0</v>
      </c>
      <c r="N71">
        <v>3.28391652189738</v>
      </c>
      <c r="O71">
        <v>1</v>
      </c>
    </row>
    <row r="72" spans="1:15" x14ac:dyDescent="0.3">
      <c r="A72">
        <v>1071</v>
      </c>
      <c r="B72">
        <v>16</v>
      </c>
      <c r="C72">
        <v>0</v>
      </c>
      <c r="D72">
        <v>1</v>
      </c>
      <c r="E72">
        <v>2</v>
      </c>
      <c r="F72">
        <v>13.370933902279701</v>
      </c>
      <c r="G72">
        <v>6</v>
      </c>
      <c r="H72">
        <v>0</v>
      </c>
      <c r="I72">
        <v>2</v>
      </c>
      <c r="J72">
        <v>1</v>
      </c>
      <c r="K72">
        <v>0</v>
      </c>
      <c r="L72">
        <v>0</v>
      </c>
      <c r="M72">
        <v>0</v>
      </c>
      <c r="N72">
        <v>2.9374541823168601</v>
      </c>
      <c r="O72">
        <v>2</v>
      </c>
    </row>
    <row r="73" spans="1:15" x14ac:dyDescent="0.3">
      <c r="A73">
        <v>1072</v>
      </c>
      <c r="B73">
        <v>16</v>
      </c>
      <c r="C73">
        <v>1</v>
      </c>
      <c r="D73">
        <v>1</v>
      </c>
      <c r="E73">
        <v>1</v>
      </c>
      <c r="F73">
        <v>17.255415549184502</v>
      </c>
      <c r="G73">
        <v>28</v>
      </c>
      <c r="H73">
        <v>0</v>
      </c>
      <c r="I73">
        <v>3</v>
      </c>
      <c r="J73">
        <v>0</v>
      </c>
      <c r="K73">
        <v>0</v>
      </c>
      <c r="L73">
        <v>1</v>
      </c>
      <c r="M73">
        <v>1</v>
      </c>
      <c r="N73">
        <v>0.73886820280526</v>
      </c>
      <c r="O73">
        <v>4</v>
      </c>
    </row>
    <row r="74" spans="1:15" x14ac:dyDescent="0.3">
      <c r="A74">
        <v>1073</v>
      </c>
      <c r="B74">
        <v>15</v>
      </c>
      <c r="C74">
        <v>0</v>
      </c>
      <c r="D74">
        <v>1</v>
      </c>
      <c r="E74">
        <v>1</v>
      </c>
      <c r="F74">
        <v>3.2580530895478801</v>
      </c>
      <c r="G74">
        <v>8</v>
      </c>
      <c r="H74">
        <v>0</v>
      </c>
      <c r="I74">
        <v>2</v>
      </c>
      <c r="J74">
        <v>1</v>
      </c>
      <c r="K74">
        <v>1</v>
      </c>
      <c r="L74">
        <v>0</v>
      </c>
      <c r="M74">
        <v>0</v>
      </c>
      <c r="N74">
        <v>2.55680166283341</v>
      </c>
      <c r="O74">
        <v>2</v>
      </c>
    </row>
    <row r="75" spans="1:15" x14ac:dyDescent="0.3">
      <c r="A75">
        <v>1074</v>
      </c>
      <c r="B75">
        <v>16</v>
      </c>
      <c r="C75">
        <v>0</v>
      </c>
      <c r="D75">
        <v>0</v>
      </c>
      <c r="E75">
        <v>3</v>
      </c>
      <c r="F75">
        <v>16.248273152477999</v>
      </c>
      <c r="G75">
        <v>4</v>
      </c>
      <c r="H75">
        <v>1</v>
      </c>
      <c r="I75">
        <v>2</v>
      </c>
      <c r="J75">
        <v>0</v>
      </c>
      <c r="K75">
        <v>0</v>
      </c>
      <c r="L75">
        <v>0</v>
      </c>
      <c r="M75">
        <v>0</v>
      </c>
      <c r="N75">
        <v>3.3009285689707899</v>
      </c>
      <c r="O75">
        <v>1</v>
      </c>
    </row>
    <row r="76" spans="1:15" x14ac:dyDescent="0.3">
      <c r="A76">
        <v>1075</v>
      </c>
      <c r="B76">
        <v>15</v>
      </c>
      <c r="C76">
        <v>1</v>
      </c>
      <c r="D76">
        <v>0</v>
      </c>
      <c r="E76">
        <v>3</v>
      </c>
      <c r="F76">
        <v>17.067914670738801</v>
      </c>
      <c r="G76">
        <v>14</v>
      </c>
      <c r="H76">
        <v>0</v>
      </c>
      <c r="I76">
        <v>3</v>
      </c>
      <c r="J76">
        <v>1</v>
      </c>
      <c r="K76">
        <v>0</v>
      </c>
      <c r="L76">
        <v>1</v>
      </c>
      <c r="M76">
        <v>0</v>
      </c>
      <c r="N76">
        <v>2.2006829465605602</v>
      </c>
      <c r="O76">
        <v>3</v>
      </c>
    </row>
    <row r="77" spans="1:15" x14ac:dyDescent="0.3">
      <c r="A77">
        <v>1076</v>
      </c>
      <c r="B77">
        <v>16</v>
      </c>
      <c r="C77">
        <v>0</v>
      </c>
      <c r="D77">
        <v>0</v>
      </c>
      <c r="E77">
        <v>3</v>
      </c>
      <c r="F77">
        <v>18.2868088533296</v>
      </c>
      <c r="G77">
        <v>17</v>
      </c>
      <c r="H77">
        <v>0</v>
      </c>
      <c r="I77">
        <v>3</v>
      </c>
      <c r="J77">
        <v>0</v>
      </c>
      <c r="K77">
        <v>1</v>
      </c>
      <c r="L77">
        <v>0</v>
      </c>
      <c r="M77">
        <v>0</v>
      </c>
      <c r="N77">
        <v>1.8558655731681899</v>
      </c>
      <c r="O77">
        <v>4</v>
      </c>
    </row>
    <row r="78" spans="1:15" x14ac:dyDescent="0.3">
      <c r="A78">
        <v>1077</v>
      </c>
      <c r="B78">
        <v>18</v>
      </c>
      <c r="C78">
        <v>0</v>
      </c>
      <c r="D78">
        <v>0</v>
      </c>
      <c r="E78">
        <v>2</v>
      </c>
      <c r="F78">
        <v>5.3057017817210399</v>
      </c>
      <c r="G78">
        <v>3</v>
      </c>
      <c r="H78">
        <v>0</v>
      </c>
      <c r="I78">
        <v>3</v>
      </c>
      <c r="J78">
        <v>0</v>
      </c>
      <c r="K78">
        <v>0</v>
      </c>
      <c r="L78">
        <v>0</v>
      </c>
      <c r="M78">
        <v>0</v>
      </c>
      <c r="N78">
        <v>2.7344014944199899</v>
      </c>
      <c r="O78">
        <v>2</v>
      </c>
    </row>
    <row r="79" spans="1:15" x14ac:dyDescent="0.3">
      <c r="A79">
        <v>1078</v>
      </c>
      <c r="B79">
        <v>18</v>
      </c>
      <c r="C79">
        <v>1</v>
      </c>
      <c r="D79">
        <v>1</v>
      </c>
      <c r="E79">
        <v>3</v>
      </c>
      <c r="F79">
        <v>18.079061303797701</v>
      </c>
      <c r="G79">
        <v>18</v>
      </c>
      <c r="H79">
        <v>1</v>
      </c>
      <c r="I79">
        <v>1</v>
      </c>
      <c r="J79">
        <v>1</v>
      </c>
      <c r="K79">
        <v>1</v>
      </c>
      <c r="L79">
        <v>0</v>
      </c>
      <c r="M79">
        <v>0</v>
      </c>
      <c r="N79">
        <v>2.1317372971872199</v>
      </c>
      <c r="O79">
        <v>3</v>
      </c>
    </row>
    <row r="80" spans="1:15" x14ac:dyDescent="0.3">
      <c r="A80">
        <v>1079</v>
      </c>
      <c r="B80">
        <v>17</v>
      </c>
      <c r="C80">
        <v>1</v>
      </c>
      <c r="D80">
        <v>0</v>
      </c>
      <c r="E80">
        <v>0</v>
      </c>
      <c r="F80">
        <v>6.4132550947286404</v>
      </c>
      <c r="G80">
        <v>19</v>
      </c>
      <c r="H80">
        <v>0</v>
      </c>
      <c r="I80">
        <v>1</v>
      </c>
      <c r="J80">
        <v>0</v>
      </c>
      <c r="K80">
        <v>0</v>
      </c>
      <c r="L80">
        <v>0</v>
      </c>
      <c r="M80">
        <v>0</v>
      </c>
      <c r="N80">
        <v>0.97976991077528597</v>
      </c>
      <c r="O80">
        <v>4</v>
      </c>
    </row>
    <row r="81" spans="1:15" x14ac:dyDescent="0.3">
      <c r="A81">
        <v>1080</v>
      </c>
      <c r="B81">
        <v>18</v>
      </c>
      <c r="C81">
        <v>1</v>
      </c>
      <c r="D81">
        <v>3</v>
      </c>
      <c r="E81">
        <v>1</v>
      </c>
      <c r="F81">
        <v>11.046760269110001</v>
      </c>
      <c r="G81">
        <v>25</v>
      </c>
      <c r="H81">
        <v>0</v>
      </c>
      <c r="I81">
        <v>3</v>
      </c>
      <c r="J81">
        <v>0</v>
      </c>
      <c r="K81">
        <v>1</v>
      </c>
      <c r="L81">
        <v>0</v>
      </c>
      <c r="M81">
        <v>0</v>
      </c>
      <c r="N81">
        <v>0.99432502355128705</v>
      </c>
      <c r="O81">
        <v>4</v>
      </c>
    </row>
    <row r="82" spans="1:15" x14ac:dyDescent="0.3">
      <c r="A82">
        <v>1081</v>
      </c>
      <c r="B82">
        <v>17</v>
      </c>
      <c r="C82">
        <v>0</v>
      </c>
      <c r="D82">
        <v>3</v>
      </c>
      <c r="E82">
        <v>1</v>
      </c>
      <c r="F82">
        <v>1.01014941664564</v>
      </c>
      <c r="G82">
        <v>6</v>
      </c>
      <c r="H82">
        <v>0</v>
      </c>
      <c r="I82">
        <v>1</v>
      </c>
      <c r="J82">
        <v>0</v>
      </c>
      <c r="K82">
        <v>1</v>
      </c>
      <c r="L82">
        <v>0</v>
      </c>
      <c r="M82">
        <v>0</v>
      </c>
      <c r="N82">
        <v>2.0746999767813299</v>
      </c>
      <c r="O82">
        <v>3</v>
      </c>
    </row>
    <row r="83" spans="1:15" x14ac:dyDescent="0.3">
      <c r="A83">
        <v>1082</v>
      </c>
      <c r="B83">
        <v>18</v>
      </c>
      <c r="C83">
        <v>1</v>
      </c>
      <c r="D83">
        <v>2</v>
      </c>
      <c r="E83">
        <v>2</v>
      </c>
      <c r="F83">
        <v>0.87762176737487196</v>
      </c>
      <c r="G83">
        <v>25</v>
      </c>
      <c r="H83">
        <v>0</v>
      </c>
      <c r="I83">
        <v>2</v>
      </c>
      <c r="J83">
        <v>0</v>
      </c>
      <c r="K83">
        <v>0</v>
      </c>
      <c r="L83">
        <v>0</v>
      </c>
      <c r="M83">
        <v>0</v>
      </c>
      <c r="N83">
        <v>0.50050803580465597</v>
      </c>
      <c r="O83">
        <v>4</v>
      </c>
    </row>
    <row r="84" spans="1:15" x14ac:dyDescent="0.3">
      <c r="A84">
        <v>1083</v>
      </c>
      <c r="B84">
        <v>15</v>
      </c>
      <c r="C84">
        <v>1</v>
      </c>
      <c r="D84">
        <v>1</v>
      </c>
      <c r="E84">
        <v>1</v>
      </c>
      <c r="F84">
        <v>14.407464254643999</v>
      </c>
      <c r="G84">
        <v>7</v>
      </c>
      <c r="H84">
        <v>0</v>
      </c>
      <c r="I84">
        <v>0</v>
      </c>
      <c r="J84">
        <v>1</v>
      </c>
      <c r="K84">
        <v>1</v>
      </c>
      <c r="L84">
        <v>0</v>
      </c>
      <c r="M84">
        <v>0</v>
      </c>
      <c r="N84">
        <v>2.5324384175876702</v>
      </c>
      <c r="O84">
        <v>2</v>
      </c>
    </row>
    <row r="85" spans="1:15" x14ac:dyDescent="0.3">
      <c r="A85">
        <v>1084</v>
      </c>
      <c r="B85">
        <v>18</v>
      </c>
      <c r="C85">
        <v>0</v>
      </c>
      <c r="D85">
        <v>2</v>
      </c>
      <c r="E85">
        <v>1</v>
      </c>
      <c r="F85">
        <v>8.8895995595558208</v>
      </c>
      <c r="G85">
        <v>16</v>
      </c>
      <c r="H85">
        <v>0</v>
      </c>
      <c r="I85">
        <v>1</v>
      </c>
      <c r="J85">
        <v>0</v>
      </c>
      <c r="K85">
        <v>1</v>
      </c>
      <c r="L85">
        <v>0</v>
      </c>
      <c r="M85">
        <v>0</v>
      </c>
      <c r="N85">
        <v>1.46337803578569</v>
      </c>
      <c r="O85">
        <v>4</v>
      </c>
    </row>
    <row r="86" spans="1:15" x14ac:dyDescent="0.3">
      <c r="A86">
        <v>1085</v>
      </c>
      <c r="B86">
        <v>17</v>
      </c>
      <c r="C86">
        <v>1</v>
      </c>
      <c r="D86">
        <v>0</v>
      </c>
      <c r="E86">
        <v>2</v>
      </c>
      <c r="F86">
        <v>5.1258475073843499</v>
      </c>
      <c r="G86">
        <v>12</v>
      </c>
      <c r="H86">
        <v>0</v>
      </c>
      <c r="I86">
        <v>3</v>
      </c>
      <c r="J86">
        <v>1</v>
      </c>
      <c r="K86">
        <v>1</v>
      </c>
      <c r="L86">
        <v>0</v>
      </c>
      <c r="M86">
        <v>0</v>
      </c>
      <c r="N86">
        <v>2.3428367731918498</v>
      </c>
      <c r="O86">
        <v>3</v>
      </c>
    </row>
    <row r="87" spans="1:15" x14ac:dyDescent="0.3">
      <c r="A87">
        <v>1086</v>
      </c>
      <c r="B87">
        <v>17</v>
      </c>
      <c r="C87">
        <v>1</v>
      </c>
      <c r="D87">
        <v>2</v>
      </c>
      <c r="E87">
        <v>3</v>
      </c>
      <c r="F87">
        <v>3.8082699204982</v>
      </c>
      <c r="G87">
        <v>23</v>
      </c>
      <c r="H87">
        <v>0</v>
      </c>
      <c r="I87">
        <v>3</v>
      </c>
      <c r="J87">
        <v>0</v>
      </c>
      <c r="K87">
        <v>0</v>
      </c>
      <c r="L87">
        <v>0</v>
      </c>
      <c r="M87">
        <v>0</v>
      </c>
      <c r="N87">
        <v>1.1588463344505999</v>
      </c>
      <c r="O87">
        <v>4</v>
      </c>
    </row>
    <row r="88" spans="1:15" x14ac:dyDescent="0.3">
      <c r="A88">
        <v>1087</v>
      </c>
      <c r="B88">
        <v>16</v>
      </c>
      <c r="C88">
        <v>1</v>
      </c>
      <c r="D88">
        <v>0</v>
      </c>
      <c r="E88">
        <v>1</v>
      </c>
      <c r="F88">
        <v>13.3990698171843</v>
      </c>
      <c r="G88">
        <v>20</v>
      </c>
      <c r="H88">
        <v>1</v>
      </c>
      <c r="I88">
        <v>1</v>
      </c>
      <c r="J88">
        <v>1</v>
      </c>
      <c r="K88">
        <v>0</v>
      </c>
      <c r="L88">
        <v>1</v>
      </c>
      <c r="M88">
        <v>1</v>
      </c>
      <c r="N88">
        <v>1.5237487447337299</v>
      </c>
      <c r="O88">
        <v>4</v>
      </c>
    </row>
    <row r="89" spans="1:15" x14ac:dyDescent="0.3">
      <c r="A89">
        <v>1088</v>
      </c>
      <c r="B89">
        <v>15</v>
      </c>
      <c r="C89">
        <v>0</v>
      </c>
      <c r="D89">
        <v>2</v>
      </c>
      <c r="E89">
        <v>1</v>
      </c>
      <c r="F89">
        <v>8.0308805067974501E-3</v>
      </c>
      <c r="G89">
        <v>27</v>
      </c>
      <c r="H89">
        <v>0</v>
      </c>
      <c r="I89">
        <v>1</v>
      </c>
      <c r="J89">
        <v>0</v>
      </c>
      <c r="K89">
        <v>0</v>
      </c>
      <c r="L89">
        <v>1</v>
      </c>
      <c r="M89">
        <v>0</v>
      </c>
      <c r="N89">
        <v>0</v>
      </c>
      <c r="O89">
        <v>4</v>
      </c>
    </row>
    <row r="90" spans="1:15" x14ac:dyDescent="0.3">
      <c r="A90">
        <v>1089</v>
      </c>
      <c r="B90">
        <v>18</v>
      </c>
      <c r="C90">
        <v>0</v>
      </c>
      <c r="D90">
        <v>0</v>
      </c>
      <c r="E90">
        <v>1</v>
      </c>
      <c r="F90">
        <v>16.117823383937001</v>
      </c>
      <c r="G90">
        <v>22</v>
      </c>
      <c r="H90">
        <v>0</v>
      </c>
      <c r="I90">
        <v>0</v>
      </c>
      <c r="J90">
        <v>1</v>
      </c>
      <c r="K90">
        <v>0</v>
      </c>
      <c r="L90">
        <v>1</v>
      </c>
      <c r="M90">
        <v>0</v>
      </c>
      <c r="N90">
        <v>1.05862201444398</v>
      </c>
      <c r="O90">
        <v>4</v>
      </c>
    </row>
    <row r="91" spans="1:15" x14ac:dyDescent="0.3">
      <c r="A91">
        <v>1090</v>
      </c>
      <c r="B91">
        <v>16</v>
      </c>
      <c r="C91">
        <v>0</v>
      </c>
      <c r="D91">
        <v>2</v>
      </c>
      <c r="E91">
        <v>1</v>
      </c>
      <c r="F91">
        <v>1.5849921225985699</v>
      </c>
      <c r="G91">
        <v>10</v>
      </c>
      <c r="H91">
        <v>0</v>
      </c>
      <c r="I91">
        <v>2</v>
      </c>
      <c r="J91">
        <v>0</v>
      </c>
      <c r="K91">
        <v>0</v>
      </c>
      <c r="L91">
        <v>1</v>
      </c>
      <c r="M91">
        <v>1</v>
      </c>
      <c r="N91">
        <v>2.2297401841747599</v>
      </c>
      <c r="O91">
        <v>3</v>
      </c>
    </row>
    <row r="92" spans="1:15" x14ac:dyDescent="0.3">
      <c r="A92">
        <v>1091</v>
      </c>
      <c r="B92">
        <v>18</v>
      </c>
      <c r="C92">
        <v>0</v>
      </c>
      <c r="D92">
        <v>3</v>
      </c>
      <c r="E92">
        <v>1</v>
      </c>
      <c r="F92">
        <v>3.82979229816238</v>
      </c>
      <c r="G92">
        <v>26</v>
      </c>
      <c r="H92">
        <v>0</v>
      </c>
      <c r="I92">
        <v>1</v>
      </c>
      <c r="J92">
        <v>0</v>
      </c>
      <c r="K92">
        <v>0</v>
      </c>
      <c r="L92">
        <v>0</v>
      </c>
      <c r="M92">
        <v>1</v>
      </c>
      <c r="N92">
        <v>0.194743280745515</v>
      </c>
      <c r="O92">
        <v>4</v>
      </c>
    </row>
    <row r="93" spans="1:15" x14ac:dyDescent="0.3">
      <c r="A93">
        <v>1092</v>
      </c>
      <c r="B93">
        <v>18</v>
      </c>
      <c r="C93">
        <v>1</v>
      </c>
      <c r="D93">
        <v>0</v>
      </c>
      <c r="E93">
        <v>2</v>
      </c>
      <c r="F93">
        <v>7.7247279059817897</v>
      </c>
      <c r="G93">
        <v>0</v>
      </c>
      <c r="H93">
        <v>0</v>
      </c>
      <c r="I93">
        <v>2</v>
      </c>
      <c r="J93">
        <v>1</v>
      </c>
      <c r="K93">
        <v>1</v>
      </c>
      <c r="L93">
        <v>0</v>
      </c>
      <c r="M93">
        <v>0</v>
      </c>
      <c r="N93">
        <v>3.5069200713692101</v>
      </c>
      <c r="O93">
        <v>0</v>
      </c>
    </row>
    <row r="94" spans="1:15" x14ac:dyDescent="0.3">
      <c r="A94">
        <v>1093</v>
      </c>
      <c r="B94">
        <v>16</v>
      </c>
      <c r="C94">
        <v>0</v>
      </c>
      <c r="D94">
        <v>0</v>
      </c>
      <c r="E94">
        <v>2</v>
      </c>
      <c r="F94">
        <v>9.6971747943220699</v>
      </c>
      <c r="G94">
        <v>1</v>
      </c>
      <c r="H94">
        <v>1</v>
      </c>
      <c r="I94">
        <v>3</v>
      </c>
      <c r="J94">
        <v>0</v>
      </c>
      <c r="K94">
        <v>0</v>
      </c>
      <c r="L94">
        <v>0</v>
      </c>
      <c r="M94">
        <v>0</v>
      </c>
      <c r="N94">
        <v>3.5522869433509401</v>
      </c>
      <c r="O94">
        <v>0</v>
      </c>
    </row>
    <row r="95" spans="1:15" x14ac:dyDescent="0.3">
      <c r="A95">
        <v>1094</v>
      </c>
      <c r="B95">
        <v>16</v>
      </c>
      <c r="C95">
        <v>0</v>
      </c>
      <c r="D95">
        <v>3</v>
      </c>
      <c r="E95">
        <v>2</v>
      </c>
      <c r="F95">
        <v>7.09990231627883</v>
      </c>
      <c r="G95">
        <v>16</v>
      </c>
      <c r="H95">
        <v>1</v>
      </c>
      <c r="I95">
        <v>3</v>
      </c>
      <c r="J95">
        <v>0</v>
      </c>
      <c r="K95">
        <v>1</v>
      </c>
      <c r="L95">
        <v>0</v>
      </c>
      <c r="M95">
        <v>0</v>
      </c>
      <c r="N95">
        <v>2.2384913542902298</v>
      </c>
      <c r="O95">
        <v>3</v>
      </c>
    </row>
    <row r="96" spans="1:15" x14ac:dyDescent="0.3">
      <c r="A96">
        <v>1095</v>
      </c>
      <c r="B96">
        <v>16</v>
      </c>
      <c r="C96">
        <v>1</v>
      </c>
      <c r="D96">
        <v>0</v>
      </c>
      <c r="E96">
        <v>1</v>
      </c>
      <c r="F96">
        <v>6.4142432996858698</v>
      </c>
      <c r="G96">
        <v>4</v>
      </c>
      <c r="H96">
        <v>0</v>
      </c>
      <c r="I96">
        <v>1</v>
      </c>
      <c r="J96">
        <v>1</v>
      </c>
      <c r="K96">
        <v>1</v>
      </c>
      <c r="L96">
        <v>0</v>
      </c>
      <c r="M96">
        <v>0</v>
      </c>
      <c r="N96">
        <v>2.7084723438568701</v>
      </c>
      <c r="O96">
        <v>2</v>
      </c>
    </row>
    <row r="97" spans="1:15" x14ac:dyDescent="0.3">
      <c r="A97">
        <v>1096</v>
      </c>
      <c r="B97">
        <v>16</v>
      </c>
      <c r="C97">
        <v>1</v>
      </c>
      <c r="D97">
        <v>2</v>
      </c>
      <c r="E97">
        <v>3</v>
      </c>
      <c r="F97">
        <v>19.2783202414637</v>
      </c>
      <c r="G97">
        <v>29</v>
      </c>
      <c r="H97">
        <v>0</v>
      </c>
      <c r="I97">
        <v>3</v>
      </c>
      <c r="J97">
        <v>0</v>
      </c>
      <c r="K97">
        <v>0</v>
      </c>
      <c r="L97">
        <v>0</v>
      </c>
      <c r="M97">
        <v>1</v>
      </c>
      <c r="N97">
        <v>0.73290823390138604</v>
      </c>
      <c r="O97">
        <v>4</v>
      </c>
    </row>
    <row r="98" spans="1:15" x14ac:dyDescent="0.3">
      <c r="A98">
        <v>1097</v>
      </c>
      <c r="B98">
        <v>16</v>
      </c>
      <c r="C98">
        <v>1</v>
      </c>
      <c r="D98">
        <v>1</v>
      </c>
      <c r="E98">
        <v>1</v>
      </c>
      <c r="F98">
        <v>12.8315936248678</v>
      </c>
      <c r="G98">
        <v>29</v>
      </c>
      <c r="H98">
        <v>0</v>
      </c>
      <c r="I98">
        <v>4</v>
      </c>
      <c r="J98">
        <v>0</v>
      </c>
      <c r="K98">
        <v>0</v>
      </c>
      <c r="L98">
        <v>1</v>
      </c>
      <c r="M98">
        <v>0</v>
      </c>
      <c r="N98">
        <v>0.96548244530452998</v>
      </c>
      <c r="O98">
        <v>4</v>
      </c>
    </row>
    <row r="99" spans="1:15" x14ac:dyDescent="0.3">
      <c r="A99">
        <v>1098</v>
      </c>
      <c r="B99">
        <v>18</v>
      </c>
      <c r="C99">
        <v>0</v>
      </c>
      <c r="D99">
        <v>0</v>
      </c>
      <c r="E99">
        <v>2</v>
      </c>
      <c r="F99">
        <v>0.468659107347764</v>
      </c>
      <c r="G99">
        <v>5</v>
      </c>
      <c r="H99">
        <v>0</v>
      </c>
      <c r="I99">
        <v>2</v>
      </c>
      <c r="J99">
        <v>0</v>
      </c>
      <c r="K99">
        <v>1</v>
      </c>
      <c r="L99">
        <v>0</v>
      </c>
      <c r="M99">
        <v>0</v>
      </c>
      <c r="N99">
        <v>2.5552328599380898</v>
      </c>
      <c r="O99">
        <v>2</v>
      </c>
    </row>
    <row r="100" spans="1:15" x14ac:dyDescent="0.3">
      <c r="A100">
        <v>1099</v>
      </c>
      <c r="B100">
        <v>16</v>
      </c>
      <c r="C100">
        <v>0</v>
      </c>
      <c r="D100">
        <v>0</v>
      </c>
      <c r="E100">
        <v>3</v>
      </c>
      <c r="F100">
        <v>8.6035181688862608</v>
      </c>
      <c r="G100">
        <v>25</v>
      </c>
      <c r="H100">
        <v>0</v>
      </c>
      <c r="I100">
        <v>2</v>
      </c>
      <c r="J100">
        <v>1</v>
      </c>
      <c r="K100">
        <v>0</v>
      </c>
      <c r="L100">
        <v>1</v>
      </c>
      <c r="M100">
        <v>1</v>
      </c>
      <c r="N100">
        <v>0.744322299921235</v>
      </c>
      <c r="O100">
        <v>4</v>
      </c>
    </row>
    <row r="101" spans="1:15" x14ac:dyDescent="0.3">
      <c r="A101">
        <v>1100</v>
      </c>
      <c r="B101">
        <v>15</v>
      </c>
      <c r="C101">
        <v>0</v>
      </c>
      <c r="D101">
        <v>0</v>
      </c>
      <c r="E101">
        <v>1</v>
      </c>
      <c r="F101">
        <v>17.5001739948794</v>
      </c>
      <c r="G101">
        <v>24</v>
      </c>
      <c r="H101">
        <v>0</v>
      </c>
      <c r="I101">
        <v>2</v>
      </c>
      <c r="J101">
        <v>0</v>
      </c>
      <c r="K101">
        <v>0</v>
      </c>
      <c r="L101">
        <v>0</v>
      </c>
      <c r="M101">
        <v>0</v>
      </c>
      <c r="N101">
        <v>0.72205658139519102</v>
      </c>
      <c r="O101">
        <v>4</v>
      </c>
    </row>
    <row r="102" spans="1:15" x14ac:dyDescent="0.3">
      <c r="A102">
        <v>1101</v>
      </c>
      <c r="B102">
        <v>17</v>
      </c>
      <c r="C102">
        <v>1</v>
      </c>
      <c r="D102">
        <v>2</v>
      </c>
      <c r="E102">
        <v>1</v>
      </c>
      <c r="F102">
        <v>6.0291237282133503</v>
      </c>
      <c r="G102">
        <v>23</v>
      </c>
      <c r="H102">
        <v>1</v>
      </c>
      <c r="I102">
        <v>1</v>
      </c>
      <c r="J102">
        <v>1</v>
      </c>
      <c r="K102">
        <v>1</v>
      </c>
      <c r="L102">
        <v>0</v>
      </c>
      <c r="M102">
        <v>1</v>
      </c>
      <c r="N102">
        <v>1.2712295298373399</v>
      </c>
      <c r="O102">
        <v>4</v>
      </c>
    </row>
    <row r="103" spans="1:15" x14ac:dyDescent="0.3">
      <c r="A103">
        <v>1102</v>
      </c>
      <c r="B103">
        <v>16</v>
      </c>
      <c r="C103">
        <v>1</v>
      </c>
      <c r="D103">
        <v>0</v>
      </c>
      <c r="E103">
        <v>3</v>
      </c>
      <c r="F103">
        <v>1.89112689548776</v>
      </c>
      <c r="G103">
        <v>6</v>
      </c>
      <c r="H103">
        <v>0</v>
      </c>
      <c r="I103">
        <v>3</v>
      </c>
      <c r="J103">
        <v>1</v>
      </c>
      <c r="K103">
        <v>0</v>
      </c>
      <c r="L103">
        <v>1</v>
      </c>
      <c r="M103">
        <v>1</v>
      </c>
      <c r="N103">
        <v>2.5261421414202299</v>
      </c>
      <c r="O103">
        <v>2</v>
      </c>
    </row>
    <row r="104" spans="1:15" x14ac:dyDescent="0.3">
      <c r="A104">
        <v>1103</v>
      </c>
      <c r="B104">
        <v>16</v>
      </c>
      <c r="C104">
        <v>0</v>
      </c>
      <c r="D104">
        <v>1</v>
      </c>
      <c r="E104">
        <v>1</v>
      </c>
      <c r="F104">
        <v>15.1676954317983</v>
      </c>
      <c r="G104">
        <v>27</v>
      </c>
      <c r="H104">
        <v>0</v>
      </c>
      <c r="I104">
        <v>3</v>
      </c>
      <c r="J104">
        <v>1</v>
      </c>
      <c r="K104">
        <v>1</v>
      </c>
      <c r="L104">
        <v>0</v>
      </c>
      <c r="M104">
        <v>0</v>
      </c>
      <c r="N104">
        <v>0.94241539535952301</v>
      </c>
      <c r="O104">
        <v>4</v>
      </c>
    </row>
    <row r="105" spans="1:15" x14ac:dyDescent="0.3">
      <c r="A105">
        <v>1104</v>
      </c>
      <c r="B105">
        <v>18</v>
      </c>
      <c r="C105">
        <v>1</v>
      </c>
      <c r="D105">
        <v>0</v>
      </c>
      <c r="E105">
        <v>2</v>
      </c>
      <c r="F105">
        <v>12.120276638721601</v>
      </c>
      <c r="G105">
        <v>20</v>
      </c>
      <c r="H105">
        <v>1</v>
      </c>
      <c r="I105">
        <v>2</v>
      </c>
      <c r="J105">
        <v>0</v>
      </c>
      <c r="K105">
        <v>1</v>
      </c>
      <c r="L105">
        <v>0</v>
      </c>
      <c r="M105">
        <v>0</v>
      </c>
      <c r="N105">
        <v>1.5156390983950201</v>
      </c>
      <c r="O105">
        <v>4</v>
      </c>
    </row>
    <row r="106" spans="1:15" x14ac:dyDescent="0.3">
      <c r="A106">
        <v>1105</v>
      </c>
      <c r="B106">
        <v>16</v>
      </c>
      <c r="C106">
        <v>1</v>
      </c>
      <c r="D106">
        <v>1</v>
      </c>
      <c r="E106">
        <v>0</v>
      </c>
      <c r="F106">
        <v>11.40625015653</v>
      </c>
      <c r="G106">
        <v>29</v>
      </c>
      <c r="H106">
        <v>0</v>
      </c>
      <c r="I106">
        <v>3</v>
      </c>
      <c r="J106">
        <v>1</v>
      </c>
      <c r="K106">
        <v>0</v>
      </c>
      <c r="L106">
        <v>0</v>
      </c>
      <c r="M106">
        <v>0</v>
      </c>
      <c r="N106">
        <v>0.64827392670819095</v>
      </c>
      <c r="O106">
        <v>4</v>
      </c>
    </row>
    <row r="107" spans="1:15" x14ac:dyDescent="0.3">
      <c r="A107">
        <v>1106</v>
      </c>
      <c r="B107">
        <v>16</v>
      </c>
      <c r="C107">
        <v>1</v>
      </c>
      <c r="D107">
        <v>2</v>
      </c>
      <c r="E107">
        <v>2</v>
      </c>
      <c r="F107">
        <v>1.0715311921481501</v>
      </c>
      <c r="G107">
        <v>14</v>
      </c>
      <c r="H107">
        <v>0</v>
      </c>
      <c r="I107">
        <v>3</v>
      </c>
      <c r="J107">
        <v>0</v>
      </c>
      <c r="K107">
        <v>1</v>
      </c>
      <c r="L107">
        <v>1</v>
      </c>
      <c r="M107">
        <v>1</v>
      </c>
      <c r="N107">
        <v>2.04885008213886</v>
      </c>
      <c r="O107">
        <v>3</v>
      </c>
    </row>
    <row r="108" spans="1:15" x14ac:dyDescent="0.3">
      <c r="A108">
        <v>1107</v>
      </c>
      <c r="B108">
        <v>16</v>
      </c>
      <c r="C108">
        <v>0</v>
      </c>
      <c r="D108">
        <v>3</v>
      </c>
      <c r="E108">
        <v>1</v>
      </c>
      <c r="F108">
        <v>2.8099801959103399</v>
      </c>
      <c r="G108">
        <v>18</v>
      </c>
      <c r="H108">
        <v>0</v>
      </c>
      <c r="I108">
        <v>0</v>
      </c>
      <c r="J108">
        <v>1</v>
      </c>
      <c r="K108">
        <v>0</v>
      </c>
      <c r="L108">
        <v>0</v>
      </c>
      <c r="M108">
        <v>1</v>
      </c>
      <c r="N108">
        <v>0.84229599925713805</v>
      </c>
      <c r="O108">
        <v>4</v>
      </c>
    </row>
    <row r="109" spans="1:15" x14ac:dyDescent="0.3">
      <c r="A109">
        <v>1108</v>
      </c>
      <c r="B109">
        <v>18</v>
      </c>
      <c r="C109">
        <v>1</v>
      </c>
      <c r="D109">
        <v>0</v>
      </c>
      <c r="E109">
        <v>0</v>
      </c>
      <c r="F109">
        <v>12.450987924262201</v>
      </c>
      <c r="G109">
        <v>15</v>
      </c>
      <c r="H109">
        <v>0</v>
      </c>
      <c r="I109">
        <v>1</v>
      </c>
      <c r="J109">
        <v>0</v>
      </c>
      <c r="K109">
        <v>1</v>
      </c>
      <c r="L109">
        <v>0</v>
      </c>
      <c r="M109">
        <v>0</v>
      </c>
      <c r="N109">
        <v>1.4641879236906401</v>
      </c>
      <c r="O109">
        <v>4</v>
      </c>
    </row>
    <row r="110" spans="1:15" x14ac:dyDescent="0.3">
      <c r="A110">
        <v>1109</v>
      </c>
      <c r="B110">
        <v>16</v>
      </c>
      <c r="C110">
        <v>1</v>
      </c>
      <c r="D110">
        <v>2</v>
      </c>
      <c r="E110">
        <v>2</v>
      </c>
      <c r="F110">
        <v>4.15647682917671</v>
      </c>
      <c r="G110">
        <v>24</v>
      </c>
      <c r="H110">
        <v>1</v>
      </c>
      <c r="I110">
        <v>3</v>
      </c>
      <c r="J110">
        <v>1</v>
      </c>
      <c r="K110">
        <v>1</v>
      </c>
      <c r="L110">
        <v>0</v>
      </c>
      <c r="M110">
        <v>0</v>
      </c>
      <c r="N110">
        <v>1.48794686516979</v>
      </c>
      <c r="O110">
        <v>4</v>
      </c>
    </row>
    <row r="111" spans="1:15" x14ac:dyDescent="0.3">
      <c r="A111">
        <v>1110</v>
      </c>
      <c r="B111">
        <v>17</v>
      </c>
      <c r="C111">
        <v>0</v>
      </c>
      <c r="D111">
        <v>2</v>
      </c>
      <c r="E111">
        <v>1</v>
      </c>
      <c r="F111">
        <v>10.081401594968399</v>
      </c>
      <c r="G111">
        <v>12</v>
      </c>
      <c r="H111">
        <v>1</v>
      </c>
      <c r="I111">
        <v>4</v>
      </c>
      <c r="J111">
        <v>0</v>
      </c>
      <c r="K111">
        <v>0</v>
      </c>
      <c r="L111">
        <v>0</v>
      </c>
      <c r="M111">
        <v>0</v>
      </c>
      <c r="N111">
        <v>2.58756579637063</v>
      </c>
      <c r="O111">
        <v>2</v>
      </c>
    </row>
    <row r="112" spans="1:15" x14ac:dyDescent="0.3">
      <c r="A112">
        <v>1111</v>
      </c>
      <c r="B112">
        <v>18</v>
      </c>
      <c r="C112">
        <v>0</v>
      </c>
      <c r="D112">
        <v>1</v>
      </c>
      <c r="E112">
        <v>1</v>
      </c>
      <c r="F112">
        <v>10.8976337205878</v>
      </c>
      <c r="G112">
        <v>4</v>
      </c>
      <c r="H112">
        <v>1</v>
      </c>
      <c r="I112">
        <v>3</v>
      </c>
      <c r="J112">
        <v>0</v>
      </c>
      <c r="K112">
        <v>0</v>
      </c>
      <c r="L112">
        <v>0</v>
      </c>
      <c r="M112">
        <v>0</v>
      </c>
      <c r="N112">
        <v>3.2208069781948701</v>
      </c>
      <c r="O112">
        <v>1</v>
      </c>
    </row>
    <row r="113" spans="1:15" x14ac:dyDescent="0.3">
      <c r="A113">
        <v>1112</v>
      </c>
      <c r="B113">
        <v>17</v>
      </c>
      <c r="C113">
        <v>1</v>
      </c>
      <c r="D113">
        <v>3</v>
      </c>
      <c r="E113">
        <v>0</v>
      </c>
      <c r="F113">
        <v>5.67014380541878</v>
      </c>
      <c r="G113">
        <v>2</v>
      </c>
      <c r="H113">
        <v>1</v>
      </c>
      <c r="I113">
        <v>4</v>
      </c>
      <c r="J113">
        <v>0</v>
      </c>
      <c r="K113">
        <v>0</v>
      </c>
      <c r="L113">
        <v>1</v>
      </c>
      <c r="M113">
        <v>0</v>
      </c>
      <c r="N113">
        <v>3.5451594318003101</v>
      </c>
      <c r="O113">
        <v>0</v>
      </c>
    </row>
    <row r="114" spans="1:15" x14ac:dyDescent="0.3">
      <c r="A114">
        <v>1113</v>
      </c>
      <c r="B114">
        <v>18</v>
      </c>
      <c r="C114">
        <v>1</v>
      </c>
      <c r="D114">
        <v>0</v>
      </c>
      <c r="E114">
        <v>1</v>
      </c>
      <c r="F114">
        <v>18.968503110829801</v>
      </c>
      <c r="G114">
        <v>2</v>
      </c>
      <c r="H114">
        <v>0</v>
      </c>
      <c r="I114">
        <v>2</v>
      </c>
      <c r="J114">
        <v>0</v>
      </c>
      <c r="K114">
        <v>0</v>
      </c>
      <c r="L114">
        <v>0</v>
      </c>
      <c r="M114">
        <v>0</v>
      </c>
      <c r="N114">
        <v>3.0895989530746402</v>
      </c>
      <c r="O114">
        <v>1</v>
      </c>
    </row>
    <row r="115" spans="1:15" x14ac:dyDescent="0.3">
      <c r="A115">
        <v>1114</v>
      </c>
      <c r="B115">
        <v>16</v>
      </c>
      <c r="C115">
        <v>0</v>
      </c>
      <c r="D115">
        <v>0</v>
      </c>
      <c r="E115">
        <v>1</v>
      </c>
      <c r="F115">
        <v>16.849282136711501</v>
      </c>
      <c r="G115">
        <v>18</v>
      </c>
      <c r="H115">
        <v>1</v>
      </c>
      <c r="I115">
        <v>1</v>
      </c>
      <c r="J115">
        <v>0</v>
      </c>
      <c r="K115">
        <v>1</v>
      </c>
      <c r="L115">
        <v>1</v>
      </c>
      <c r="M115">
        <v>0</v>
      </c>
      <c r="N115">
        <v>1.9199564399182001</v>
      </c>
      <c r="O115">
        <v>4</v>
      </c>
    </row>
    <row r="116" spans="1:15" x14ac:dyDescent="0.3">
      <c r="A116">
        <v>1115</v>
      </c>
      <c r="B116">
        <v>17</v>
      </c>
      <c r="C116">
        <v>0</v>
      </c>
      <c r="D116">
        <v>2</v>
      </c>
      <c r="E116">
        <v>0</v>
      </c>
      <c r="F116">
        <v>14.4474701526559</v>
      </c>
      <c r="G116">
        <v>13</v>
      </c>
      <c r="H116">
        <v>1</v>
      </c>
      <c r="I116">
        <v>2</v>
      </c>
      <c r="J116">
        <v>0</v>
      </c>
      <c r="K116">
        <v>0</v>
      </c>
      <c r="L116">
        <v>0</v>
      </c>
      <c r="M116">
        <v>0</v>
      </c>
      <c r="N116">
        <v>2.1985931845869602</v>
      </c>
      <c r="O116">
        <v>3</v>
      </c>
    </row>
    <row r="117" spans="1:15" x14ac:dyDescent="0.3">
      <c r="A117">
        <v>1116</v>
      </c>
      <c r="B117">
        <v>18</v>
      </c>
      <c r="C117">
        <v>1</v>
      </c>
      <c r="D117">
        <v>0</v>
      </c>
      <c r="E117">
        <v>3</v>
      </c>
      <c r="F117">
        <v>1.5598773281881799</v>
      </c>
      <c r="G117">
        <v>15</v>
      </c>
      <c r="H117">
        <v>0</v>
      </c>
      <c r="I117">
        <v>0</v>
      </c>
      <c r="J117">
        <v>0</v>
      </c>
      <c r="K117">
        <v>0</v>
      </c>
      <c r="L117">
        <v>0</v>
      </c>
      <c r="M117">
        <v>1</v>
      </c>
      <c r="N117">
        <v>0.87821261676277595</v>
      </c>
      <c r="O117">
        <v>4</v>
      </c>
    </row>
    <row r="118" spans="1:15" x14ac:dyDescent="0.3">
      <c r="A118">
        <v>1117</v>
      </c>
      <c r="B118">
        <v>15</v>
      </c>
      <c r="C118">
        <v>1</v>
      </c>
      <c r="D118">
        <v>2</v>
      </c>
      <c r="E118">
        <v>0</v>
      </c>
      <c r="F118">
        <v>2.1226003861803799</v>
      </c>
      <c r="G118">
        <v>21</v>
      </c>
      <c r="H118">
        <v>0</v>
      </c>
      <c r="I118">
        <v>3</v>
      </c>
      <c r="J118">
        <v>1</v>
      </c>
      <c r="K118">
        <v>0</v>
      </c>
      <c r="L118">
        <v>1</v>
      </c>
      <c r="M118">
        <v>0</v>
      </c>
      <c r="N118">
        <v>1.3403686475123999</v>
      </c>
      <c r="O118">
        <v>4</v>
      </c>
    </row>
    <row r="119" spans="1:15" x14ac:dyDescent="0.3">
      <c r="A119">
        <v>1118</v>
      </c>
      <c r="B119">
        <v>16</v>
      </c>
      <c r="C119">
        <v>1</v>
      </c>
      <c r="D119">
        <v>2</v>
      </c>
      <c r="E119">
        <v>2</v>
      </c>
      <c r="F119">
        <v>9.8556269172991104</v>
      </c>
      <c r="G119">
        <v>16</v>
      </c>
      <c r="H119">
        <v>0</v>
      </c>
      <c r="I119">
        <v>4</v>
      </c>
      <c r="J119">
        <v>0</v>
      </c>
      <c r="K119">
        <v>0</v>
      </c>
      <c r="L119">
        <v>0</v>
      </c>
      <c r="M119">
        <v>0</v>
      </c>
      <c r="N119">
        <v>1.8195113357138999</v>
      </c>
      <c r="O119">
        <v>4</v>
      </c>
    </row>
    <row r="120" spans="1:15" x14ac:dyDescent="0.3">
      <c r="A120">
        <v>1119</v>
      </c>
      <c r="B120">
        <v>18</v>
      </c>
      <c r="C120">
        <v>1</v>
      </c>
      <c r="D120">
        <v>0</v>
      </c>
      <c r="E120">
        <v>1</v>
      </c>
      <c r="F120">
        <v>3.21426698381971</v>
      </c>
      <c r="G120">
        <v>26</v>
      </c>
      <c r="H120">
        <v>0</v>
      </c>
      <c r="I120">
        <v>3</v>
      </c>
      <c r="J120">
        <v>0</v>
      </c>
      <c r="K120">
        <v>1</v>
      </c>
      <c r="L120">
        <v>0</v>
      </c>
      <c r="M120">
        <v>0</v>
      </c>
      <c r="N120">
        <v>0.61935093146753395</v>
      </c>
      <c r="O120">
        <v>4</v>
      </c>
    </row>
    <row r="121" spans="1:15" x14ac:dyDescent="0.3">
      <c r="A121">
        <v>1120</v>
      </c>
      <c r="B121">
        <v>15</v>
      </c>
      <c r="C121">
        <v>0</v>
      </c>
      <c r="D121">
        <v>2</v>
      </c>
      <c r="E121">
        <v>1</v>
      </c>
      <c r="F121">
        <v>19.565309270589399</v>
      </c>
      <c r="G121">
        <v>3</v>
      </c>
      <c r="H121">
        <v>0</v>
      </c>
      <c r="I121">
        <v>2</v>
      </c>
      <c r="J121">
        <v>1</v>
      </c>
      <c r="K121">
        <v>0</v>
      </c>
      <c r="L121">
        <v>1</v>
      </c>
      <c r="M121">
        <v>1</v>
      </c>
      <c r="N121">
        <v>3.6194608696935102</v>
      </c>
      <c r="O121">
        <v>0</v>
      </c>
    </row>
    <row r="122" spans="1:15" x14ac:dyDescent="0.3">
      <c r="A122">
        <v>1121</v>
      </c>
      <c r="B122">
        <v>18</v>
      </c>
      <c r="C122">
        <v>1</v>
      </c>
      <c r="D122">
        <v>0</v>
      </c>
      <c r="E122">
        <v>3</v>
      </c>
      <c r="F122">
        <v>3.17040468054818</v>
      </c>
      <c r="G122">
        <v>12</v>
      </c>
      <c r="H122">
        <v>1</v>
      </c>
      <c r="I122">
        <v>1</v>
      </c>
      <c r="J122">
        <v>1</v>
      </c>
      <c r="K122">
        <v>1</v>
      </c>
      <c r="L122">
        <v>0</v>
      </c>
      <c r="M122">
        <v>0</v>
      </c>
      <c r="N122">
        <v>2.1749027962098699</v>
      </c>
      <c r="O122">
        <v>3</v>
      </c>
    </row>
    <row r="123" spans="1:15" x14ac:dyDescent="0.3">
      <c r="A123">
        <v>1122</v>
      </c>
      <c r="B123">
        <v>15</v>
      </c>
      <c r="C123">
        <v>1</v>
      </c>
      <c r="D123">
        <v>1</v>
      </c>
      <c r="E123">
        <v>1</v>
      </c>
      <c r="F123">
        <v>9.7493567092794802</v>
      </c>
      <c r="G123">
        <v>7</v>
      </c>
      <c r="H123">
        <v>1</v>
      </c>
      <c r="I123">
        <v>1</v>
      </c>
      <c r="J123">
        <v>0</v>
      </c>
      <c r="K123">
        <v>1</v>
      </c>
      <c r="L123">
        <v>1</v>
      </c>
      <c r="M123">
        <v>0</v>
      </c>
      <c r="N123">
        <v>2.9744060149110401</v>
      </c>
      <c r="O123">
        <v>2</v>
      </c>
    </row>
    <row r="124" spans="1:15" x14ac:dyDescent="0.3">
      <c r="A124">
        <v>1123</v>
      </c>
      <c r="B124">
        <v>16</v>
      </c>
      <c r="C124">
        <v>0</v>
      </c>
      <c r="D124">
        <v>1</v>
      </c>
      <c r="E124">
        <v>4</v>
      </c>
      <c r="F124">
        <v>7.2824211368301004</v>
      </c>
      <c r="G124">
        <v>18</v>
      </c>
      <c r="H124">
        <v>0</v>
      </c>
      <c r="I124">
        <v>2</v>
      </c>
      <c r="J124">
        <v>0</v>
      </c>
      <c r="K124">
        <v>0</v>
      </c>
      <c r="L124">
        <v>0</v>
      </c>
      <c r="M124">
        <v>0</v>
      </c>
      <c r="N124">
        <v>0.98073584374880196</v>
      </c>
      <c r="O124">
        <v>4</v>
      </c>
    </row>
    <row r="125" spans="1:15" x14ac:dyDescent="0.3">
      <c r="A125">
        <v>1124</v>
      </c>
      <c r="B125">
        <v>17</v>
      </c>
      <c r="C125">
        <v>1</v>
      </c>
      <c r="D125">
        <v>3</v>
      </c>
      <c r="E125">
        <v>1</v>
      </c>
      <c r="F125">
        <v>12.7877284290819</v>
      </c>
      <c r="G125">
        <v>4</v>
      </c>
      <c r="H125">
        <v>0</v>
      </c>
      <c r="I125">
        <v>3</v>
      </c>
      <c r="J125">
        <v>0</v>
      </c>
      <c r="K125">
        <v>0</v>
      </c>
      <c r="L125">
        <v>0</v>
      </c>
      <c r="M125">
        <v>0</v>
      </c>
      <c r="N125">
        <v>3.1016738090151001</v>
      </c>
      <c r="O125">
        <v>1</v>
      </c>
    </row>
    <row r="126" spans="1:15" x14ac:dyDescent="0.3">
      <c r="A126">
        <v>1125</v>
      </c>
      <c r="B126">
        <v>15</v>
      </c>
      <c r="C126">
        <v>0</v>
      </c>
      <c r="D126">
        <v>0</v>
      </c>
      <c r="E126">
        <v>2</v>
      </c>
      <c r="F126">
        <v>2.5807281777884898</v>
      </c>
      <c r="G126">
        <v>1</v>
      </c>
      <c r="H126">
        <v>1</v>
      </c>
      <c r="I126">
        <v>2</v>
      </c>
      <c r="J126">
        <v>1</v>
      </c>
      <c r="K126">
        <v>0</v>
      </c>
      <c r="L126">
        <v>1</v>
      </c>
      <c r="M126">
        <v>0</v>
      </c>
      <c r="N126">
        <v>3.49825734177332</v>
      </c>
      <c r="O126">
        <v>1</v>
      </c>
    </row>
    <row r="127" spans="1:15" x14ac:dyDescent="0.3">
      <c r="A127">
        <v>1126</v>
      </c>
      <c r="B127">
        <v>18</v>
      </c>
      <c r="C127">
        <v>1</v>
      </c>
      <c r="D127">
        <v>0</v>
      </c>
      <c r="E127">
        <v>2</v>
      </c>
      <c r="F127">
        <v>8.6063285608478104</v>
      </c>
      <c r="G127">
        <v>14</v>
      </c>
      <c r="H127">
        <v>0</v>
      </c>
      <c r="I127">
        <v>4</v>
      </c>
      <c r="J127">
        <v>1</v>
      </c>
      <c r="K127">
        <v>0</v>
      </c>
      <c r="L127">
        <v>0</v>
      </c>
      <c r="M127">
        <v>0</v>
      </c>
      <c r="N127">
        <v>2.5905534450529801</v>
      </c>
      <c r="O127">
        <v>2</v>
      </c>
    </row>
    <row r="128" spans="1:15" x14ac:dyDescent="0.3">
      <c r="A128">
        <v>1127</v>
      </c>
      <c r="B128">
        <v>16</v>
      </c>
      <c r="C128">
        <v>1</v>
      </c>
      <c r="D128">
        <v>1</v>
      </c>
      <c r="E128">
        <v>3</v>
      </c>
      <c r="F128">
        <v>5.4941006561428702</v>
      </c>
      <c r="G128">
        <v>1</v>
      </c>
      <c r="H128">
        <v>0</v>
      </c>
      <c r="I128">
        <v>3</v>
      </c>
      <c r="J128">
        <v>1</v>
      </c>
      <c r="K128">
        <v>0</v>
      </c>
      <c r="L128">
        <v>0</v>
      </c>
      <c r="M128">
        <v>0</v>
      </c>
      <c r="N128">
        <v>3.5350037581843101</v>
      </c>
      <c r="O128">
        <v>0</v>
      </c>
    </row>
    <row r="129" spans="1:15" x14ac:dyDescent="0.3">
      <c r="A129">
        <v>1128</v>
      </c>
      <c r="B129">
        <v>15</v>
      </c>
      <c r="C129">
        <v>0</v>
      </c>
      <c r="D129">
        <v>2</v>
      </c>
      <c r="E129">
        <v>2</v>
      </c>
      <c r="F129">
        <v>17.755030493433701</v>
      </c>
      <c r="G129">
        <v>10</v>
      </c>
      <c r="H129">
        <v>1</v>
      </c>
      <c r="I129">
        <v>1</v>
      </c>
      <c r="J129">
        <v>0</v>
      </c>
      <c r="K129">
        <v>1</v>
      </c>
      <c r="L129">
        <v>0</v>
      </c>
      <c r="M129">
        <v>0</v>
      </c>
      <c r="N129">
        <v>2.81992174529318</v>
      </c>
      <c r="O129">
        <v>2</v>
      </c>
    </row>
    <row r="130" spans="1:15" x14ac:dyDescent="0.3">
      <c r="A130">
        <v>1129</v>
      </c>
      <c r="B130">
        <v>18</v>
      </c>
      <c r="C130">
        <v>0</v>
      </c>
      <c r="D130">
        <v>1</v>
      </c>
      <c r="E130">
        <v>2</v>
      </c>
      <c r="F130">
        <v>0.81171424269390102</v>
      </c>
      <c r="G130">
        <v>12</v>
      </c>
      <c r="H130">
        <v>1</v>
      </c>
      <c r="I130">
        <v>1</v>
      </c>
      <c r="J130">
        <v>1</v>
      </c>
      <c r="K130">
        <v>1</v>
      </c>
      <c r="L130">
        <v>0</v>
      </c>
      <c r="M130">
        <v>0</v>
      </c>
      <c r="N130">
        <v>2.0165967745176601</v>
      </c>
      <c r="O130">
        <v>3</v>
      </c>
    </row>
    <row r="131" spans="1:15" x14ac:dyDescent="0.3">
      <c r="A131">
        <v>1130</v>
      </c>
      <c r="B131">
        <v>18</v>
      </c>
      <c r="C131">
        <v>1</v>
      </c>
      <c r="D131">
        <v>0</v>
      </c>
      <c r="E131">
        <v>1</v>
      </c>
      <c r="F131">
        <v>18.274549880129101</v>
      </c>
      <c r="G131">
        <v>22</v>
      </c>
      <c r="H131">
        <v>1</v>
      </c>
      <c r="I131">
        <v>3</v>
      </c>
      <c r="J131">
        <v>0</v>
      </c>
      <c r="K131">
        <v>0</v>
      </c>
      <c r="L131">
        <v>0</v>
      </c>
      <c r="M131">
        <v>0</v>
      </c>
      <c r="N131">
        <v>1.37118503889171</v>
      </c>
      <c r="O131">
        <v>4</v>
      </c>
    </row>
    <row r="132" spans="1:15" x14ac:dyDescent="0.3">
      <c r="A132">
        <v>1131</v>
      </c>
      <c r="B132">
        <v>18</v>
      </c>
      <c r="C132">
        <v>1</v>
      </c>
      <c r="D132">
        <v>0</v>
      </c>
      <c r="E132">
        <v>1</v>
      </c>
      <c r="F132">
        <v>16.659882771060001</v>
      </c>
      <c r="G132">
        <v>9</v>
      </c>
      <c r="H132">
        <v>0</v>
      </c>
      <c r="I132">
        <v>1</v>
      </c>
      <c r="J132">
        <v>0</v>
      </c>
      <c r="K132">
        <v>0</v>
      </c>
      <c r="L132">
        <v>0</v>
      </c>
      <c r="M132">
        <v>0</v>
      </c>
      <c r="N132">
        <v>2.1047955879699001</v>
      </c>
      <c r="O132">
        <v>3</v>
      </c>
    </row>
    <row r="133" spans="1:15" x14ac:dyDescent="0.3">
      <c r="A133">
        <v>1132</v>
      </c>
      <c r="B133">
        <v>15</v>
      </c>
      <c r="C133">
        <v>1</v>
      </c>
      <c r="D133">
        <v>0</v>
      </c>
      <c r="E133">
        <v>3</v>
      </c>
      <c r="F133">
        <v>5.9514143288163002</v>
      </c>
      <c r="G133">
        <v>2</v>
      </c>
      <c r="H133">
        <v>0</v>
      </c>
      <c r="I133">
        <v>3</v>
      </c>
      <c r="J133">
        <v>0</v>
      </c>
      <c r="K133">
        <v>0</v>
      </c>
      <c r="L133">
        <v>0</v>
      </c>
      <c r="M133">
        <v>0</v>
      </c>
      <c r="N133">
        <v>3.0304390886965198</v>
      </c>
      <c r="O133">
        <v>1</v>
      </c>
    </row>
    <row r="134" spans="1:15" x14ac:dyDescent="0.3">
      <c r="A134">
        <v>1133</v>
      </c>
      <c r="B134">
        <v>15</v>
      </c>
      <c r="C134">
        <v>0</v>
      </c>
      <c r="D134">
        <v>2</v>
      </c>
      <c r="E134">
        <v>1</v>
      </c>
      <c r="F134">
        <v>15.785813093542</v>
      </c>
      <c r="G134">
        <v>4</v>
      </c>
      <c r="H134">
        <v>1</v>
      </c>
      <c r="I134">
        <v>2</v>
      </c>
      <c r="J134">
        <v>0</v>
      </c>
      <c r="K134">
        <v>1</v>
      </c>
      <c r="L134">
        <v>0</v>
      </c>
      <c r="M134">
        <v>0</v>
      </c>
      <c r="N134">
        <v>3.5824218723119499</v>
      </c>
      <c r="O134">
        <v>0</v>
      </c>
    </row>
    <row r="135" spans="1:15" x14ac:dyDescent="0.3">
      <c r="A135">
        <v>1134</v>
      </c>
      <c r="B135">
        <v>15</v>
      </c>
      <c r="C135">
        <v>1</v>
      </c>
      <c r="D135">
        <v>0</v>
      </c>
      <c r="E135">
        <v>1</v>
      </c>
      <c r="F135">
        <v>0.62427120677495096</v>
      </c>
      <c r="G135">
        <v>2</v>
      </c>
      <c r="H135">
        <v>0</v>
      </c>
      <c r="I135">
        <v>1</v>
      </c>
      <c r="J135">
        <v>1</v>
      </c>
      <c r="K135">
        <v>0</v>
      </c>
      <c r="L135">
        <v>0</v>
      </c>
      <c r="M135">
        <v>0</v>
      </c>
      <c r="N135">
        <v>2.4265467060392401</v>
      </c>
      <c r="O135">
        <v>3</v>
      </c>
    </row>
    <row r="136" spans="1:15" x14ac:dyDescent="0.3">
      <c r="A136">
        <v>1135</v>
      </c>
      <c r="B136">
        <v>17</v>
      </c>
      <c r="C136">
        <v>0</v>
      </c>
      <c r="D136">
        <v>0</v>
      </c>
      <c r="E136">
        <v>2</v>
      </c>
      <c r="F136">
        <v>19.3373110058678</v>
      </c>
      <c r="G136">
        <v>5</v>
      </c>
      <c r="H136">
        <v>1</v>
      </c>
      <c r="I136">
        <v>2</v>
      </c>
      <c r="J136">
        <v>1</v>
      </c>
      <c r="K136">
        <v>0</v>
      </c>
      <c r="L136">
        <v>0</v>
      </c>
      <c r="M136">
        <v>0</v>
      </c>
      <c r="N136">
        <v>3.1614362702583598</v>
      </c>
      <c r="O136">
        <v>1</v>
      </c>
    </row>
    <row r="137" spans="1:15" x14ac:dyDescent="0.3">
      <c r="A137">
        <v>1136</v>
      </c>
      <c r="B137">
        <v>15</v>
      </c>
      <c r="C137">
        <v>0</v>
      </c>
      <c r="D137">
        <v>3</v>
      </c>
      <c r="E137">
        <v>1</v>
      </c>
      <c r="F137">
        <v>10.531898851795701</v>
      </c>
      <c r="G137">
        <v>12</v>
      </c>
      <c r="H137">
        <v>0</v>
      </c>
      <c r="I137">
        <v>2</v>
      </c>
      <c r="J137">
        <v>1</v>
      </c>
      <c r="K137">
        <v>0</v>
      </c>
      <c r="L137">
        <v>0</v>
      </c>
      <c r="M137">
        <v>0</v>
      </c>
      <c r="N137">
        <v>2.1226385296288601</v>
      </c>
      <c r="O137">
        <v>3</v>
      </c>
    </row>
    <row r="138" spans="1:15" x14ac:dyDescent="0.3">
      <c r="A138">
        <v>1137</v>
      </c>
      <c r="B138">
        <v>15</v>
      </c>
      <c r="C138">
        <v>1</v>
      </c>
      <c r="D138">
        <v>0</v>
      </c>
      <c r="E138">
        <v>4</v>
      </c>
      <c r="F138">
        <v>6.0656205213089001</v>
      </c>
      <c r="G138">
        <v>9</v>
      </c>
      <c r="H138">
        <v>0</v>
      </c>
      <c r="I138">
        <v>3</v>
      </c>
      <c r="J138">
        <v>0</v>
      </c>
      <c r="K138">
        <v>1</v>
      </c>
      <c r="L138">
        <v>0</v>
      </c>
      <c r="M138">
        <v>0</v>
      </c>
      <c r="N138">
        <v>2.2048605809973099</v>
      </c>
      <c r="O138">
        <v>3</v>
      </c>
    </row>
    <row r="139" spans="1:15" x14ac:dyDescent="0.3">
      <c r="A139">
        <v>1138</v>
      </c>
      <c r="B139">
        <v>15</v>
      </c>
      <c r="C139">
        <v>0</v>
      </c>
      <c r="D139">
        <v>3</v>
      </c>
      <c r="E139">
        <v>2</v>
      </c>
      <c r="F139">
        <v>7.2516642518935397</v>
      </c>
      <c r="G139">
        <v>18</v>
      </c>
      <c r="H139">
        <v>0</v>
      </c>
      <c r="I139">
        <v>0</v>
      </c>
      <c r="J139">
        <v>1</v>
      </c>
      <c r="K139">
        <v>0</v>
      </c>
      <c r="L139">
        <v>1</v>
      </c>
      <c r="M139">
        <v>1</v>
      </c>
      <c r="N139">
        <v>1.1829875004980399</v>
      </c>
      <c r="O139">
        <v>4</v>
      </c>
    </row>
    <row r="140" spans="1:15" x14ac:dyDescent="0.3">
      <c r="A140">
        <v>1139</v>
      </c>
      <c r="B140">
        <v>17</v>
      </c>
      <c r="C140">
        <v>1</v>
      </c>
      <c r="D140">
        <v>1</v>
      </c>
      <c r="E140">
        <v>2</v>
      </c>
      <c r="F140">
        <v>1.3281070692099399</v>
      </c>
      <c r="G140">
        <v>7</v>
      </c>
      <c r="H140">
        <v>0</v>
      </c>
      <c r="I140">
        <v>3</v>
      </c>
      <c r="J140">
        <v>1</v>
      </c>
      <c r="K140">
        <v>0</v>
      </c>
      <c r="L140">
        <v>0</v>
      </c>
      <c r="M140">
        <v>0</v>
      </c>
      <c r="N140">
        <v>2.7387957163435899</v>
      </c>
      <c r="O140">
        <v>2</v>
      </c>
    </row>
    <row r="141" spans="1:15" x14ac:dyDescent="0.3">
      <c r="A141">
        <v>1140</v>
      </c>
      <c r="B141">
        <v>15</v>
      </c>
      <c r="C141">
        <v>1</v>
      </c>
      <c r="D141">
        <v>2</v>
      </c>
      <c r="E141">
        <v>3</v>
      </c>
      <c r="F141">
        <v>19.786990280840701</v>
      </c>
      <c r="G141">
        <v>17</v>
      </c>
      <c r="H141">
        <v>1</v>
      </c>
      <c r="I141">
        <v>3</v>
      </c>
      <c r="J141">
        <v>0</v>
      </c>
      <c r="K141">
        <v>0</v>
      </c>
      <c r="L141">
        <v>0</v>
      </c>
      <c r="M141">
        <v>0</v>
      </c>
      <c r="N141">
        <v>2.2379013009826001</v>
      </c>
      <c r="O141">
        <v>3</v>
      </c>
    </row>
    <row r="142" spans="1:15" x14ac:dyDescent="0.3">
      <c r="A142">
        <v>1141</v>
      </c>
      <c r="B142">
        <v>18</v>
      </c>
      <c r="C142">
        <v>1</v>
      </c>
      <c r="D142">
        <v>0</v>
      </c>
      <c r="E142">
        <v>0</v>
      </c>
      <c r="F142">
        <v>0.78583890301384896</v>
      </c>
      <c r="G142">
        <v>2</v>
      </c>
      <c r="H142">
        <v>0</v>
      </c>
      <c r="I142">
        <v>3</v>
      </c>
      <c r="J142">
        <v>1</v>
      </c>
      <c r="K142">
        <v>0</v>
      </c>
      <c r="L142">
        <v>0</v>
      </c>
      <c r="M142">
        <v>0</v>
      </c>
      <c r="N142">
        <v>3.13948154638038</v>
      </c>
      <c r="O142">
        <v>1</v>
      </c>
    </row>
    <row r="143" spans="1:15" x14ac:dyDescent="0.3">
      <c r="A143">
        <v>1142</v>
      </c>
      <c r="B143">
        <v>15</v>
      </c>
      <c r="C143">
        <v>1</v>
      </c>
      <c r="D143">
        <v>0</v>
      </c>
      <c r="E143">
        <v>1</v>
      </c>
      <c r="F143">
        <v>13.098142462957099</v>
      </c>
      <c r="G143">
        <v>23</v>
      </c>
      <c r="H143">
        <v>1</v>
      </c>
      <c r="I143">
        <v>0</v>
      </c>
      <c r="J143">
        <v>1</v>
      </c>
      <c r="K143">
        <v>1</v>
      </c>
      <c r="L143">
        <v>0</v>
      </c>
      <c r="M143">
        <v>0</v>
      </c>
      <c r="N143">
        <v>1.04604477108009</v>
      </c>
      <c r="O143">
        <v>4</v>
      </c>
    </row>
    <row r="144" spans="1:15" x14ac:dyDescent="0.3">
      <c r="A144">
        <v>1143</v>
      </c>
      <c r="B144">
        <v>18</v>
      </c>
      <c r="C144">
        <v>1</v>
      </c>
      <c r="D144">
        <v>2</v>
      </c>
      <c r="E144">
        <v>2</v>
      </c>
      <c r="F144">
        <v>8.8547185541291604</v>
      </c>
      <c r="G144">
        <v>23</v>
      </c>
      <c r="H144">
        <v>1</v>
      </c>
      <c r="I144">
        <v>3</v>
      </c>
      <c r="J144">
        <v>0</v>
      </c>
      <c r="K144">
        <v>0</v>
      </c>
      <c r="L144">
        <v>0</v>
      </c>
      <c r="M144">
        <v>0</v>
      </c>
      <c r="N144">
        <v>0.81645824521379895</v>
      </c>
      <c r="O144">
        <v>4</v>
      </c>
    </row>
    <row r="145" spans="1:15" x14ac:dyDescent="0.3">
      <c r="A145">
        <v>1144</v>
      </c>
      <c r="B145">
        <v>18</v>
      </c>
      <c r="C145">
        <v>0</v>
      </c>
      <c r="D145">
        <v>2</v>
      </c>
      <c r="E145">
        <v>1</v>
      </c>
      <c r="F145">
        <v>18.978324363774298</v>
      </c>
      <c r="G145">
        <v>16</v>
      </c>
      <c r="H145">
        <v>0</v>
      </c>
      <c r="I145">
        <v>2</v>
      </c>
      <c r="J145">
        <v>1</v>
      </c>
      <c r="K145">
        <v>0</v>
      </c>
      <c r="L145">
        <v>1</v>
      </c>
      <c r="M145">
        <v>0</v>
      </c>
      <c r="N145">
        <v>2.0335446205211798</v>
      </c>
      <c r="O145">
        <v>3</v>
      </c>
    </row>
    <row r="146" spans="1:15" x14ac:dyDescent="0.3">
      <c r="A146">
        <v>1145</v>
      </c>
      <c r="B146">
        <v>18</v>
      </c>
      <c r="C146">
        <v>0</v>
      </c>
      <c r="D146">
        <v>2</v>
      </c>
      <c r="E146">
        <v>2</v>
      </c>
      <c r="F146">
        <v>4.9199948061359002</v>
      </c>
      <c r="G146">
        <v>7</v>
      </c>
      <c r="H146">
        <v>1</v>
      </c>
      <c r="I146">
        <v>2</v>
      </c>
      <c r="J146">
        <v>1</v>
      </c>
      <c r="K146">
        <v>1</v>
      </c>
      <c r="L146">
        <v>0</v>
      </c>
      <c r="M146">
        <v>0</v>
      </c>
      <c r="N146">
        <v>2.4320785227822301</v>
      </c>
      <c r="O146">
        <v>3</v>
      </c>
    </row>
    <row r="147" spans="1:15" x14ac:dyDescent="0.3">
      <c r="A147">
        <v>1146</v>
      </c>
      <c r="B147">
        <v>17</v>
      </c>
      <c r="C147">
        <v>1</v>
      </c>
      <c r="D147">
        <v>0</v>
      </c>
      <c r="E147">
        <v>3</v>
      </c>
      <c r="F147">
        <v>10.641736478760199</v>
      </c>
      <c r="G147">
        <v>9</v>
      </c>
      <c r="H147">
        <v>0</v>
      </c>
      <c r="I147">
        <v>3</v>
      </c>
      <c r="J147">
        <v>1</v>
      </c>
      <c r="K147">
        <v>0</v>
      </c>
      <c r="L147">
        <v>0</v>
      </c>
      <c r="M147">
        <v>0</v>
      </c>
      <c r="N147">
        <v>2.6597713195278998</v>
      </c>
      <c r="O147">
        <v>2</v>
      </c>
    </row>
    <row r="148" spans="1:15" x14ac:dyDescent="0.3">
      <c r="A148">
        <v>1147</v>
      </c>
      <c r="B148">
        <v>17</v>
      </c>
      <c r="C148">
        <v>1</v>
      </c>
      <c r="D148">
        <v>2</v>
      </c>
      <c r="E148">
        <v>2</v>
      </c>
      <c r="F148">
        <v>9.6471241716550598</v>
      </c>
      <c r="G148">
        <v>1</v>
      </c>
      <c r="H148">
        <v>1</v>
      </c>
      <c r="I148">
        <v>2</v>
      </c>
      <c r="J148">
        <v>1</v>
      </c>
      <c r="K148">
        <v>0</v>
      </c>
      <c r="L148">
        <v>0</v>
      </c>
      <c r="M148">
        <v>1</v>
      </c>
      <c r="N148">
        <v>3.58888793976501</v>
      </c>
      <c r="O148">
        <v>0</v>
      </c>
    </row>
    <row r="149" spans="1:15" x14ac:dyDescent="0.3">
      <c r="A149">
        <v>1148</v>
      </c>
      <c r="B149">
        <v>17</v>
      </c>
      <c r="C149">
        <v>0</v>
      </c>
      <c r="D149">
        <v>2</v>
      </c>
      <c r="E149">
        <v>1</v>
      </c>
      <c r="F149">
        <v>14.057328881002</v>
      </c>
      <c r="G149">
        <v>11</v>
      </c>
      <c r="H149">
        <v>0</v>
      </c>
      <c r="I149">
        <v>3</v>
      </c>
      <c r="J149">
        <v>0</v>
      </c>
      <c r="K149">
        <v>1</v>
      </c>
      <c r="L149">
        <v>0</v>
      </c>
      <c r="M149">
        <v>0</v>
      </c>
      <c r="N149">
        <v>2.314587627811</v>
      </c>
      <c r="O149">
        <v>3</v>
      </c>
    </row>
    <row r="150" spans="1:15" x14ac:dyDescent="0.3">
      <c r="A150">
        <v>1149</v>
      </c>
      <c r="B150">
        <v>15</v>
      </c>
      <c r="C150">
        <v>0</v>
      </c>
      <c r="D150">
        <v>1</v>
      </c>
      <c r="E150">
        <v>4</v>
      </c>
      <c r="F150">
        <v>1.3602046390484099</v>
      </c>
      <c r="G150">
        <v>22</v>
      </c>
      <c r="H150">
        <v>0</v>
      </c>
      <c r="I150">
        <v>1</v>
      </c>
      <c r="J150">
        <v>1</v>
      </c>
      <c r="K150">
        <v>1</v>
      </c>
      <c r="L150">
        <v>0</v>
      </c>
      <c r="M150">
        <v>1</v>
      </c>
      <c r="N150">
        <v>1.0072258202140301</v>
      </c>
      <c r="O150">
        <v>4</v>
      </c>
    </row>
    <row r="151" spans="1:15" x14ac:dyDescent="0.3">
      <c r="A151">
        <v>1150</v>
      </c>
      <c r="B151">
        <v>18</v>
      </c>
      <c r="C151">
        <v>0</v>
      </c>
      <c r="D151">
        <v>2</v>
      </c>
      <c r="E151">
        <v>2</v>
      </c>
      <c r="F151">
        <v>3.8757826004670899</v>
      </c>
      <c r="G151">
        <v>5</v>
      </c>
      <c r="H151">
        <v>0</v>
      </c>
      <c r="I151">
        <v>3</v>
      </c>
      <c r="J151">
        <v>1</v>
      </c>
      <c r="K151">
        <v>0</v>
      </c>
      <c r="L151">
        <v>0</v>
      </c>
      <c r="M151">
        <v>0</v>
      </c>
      <c r="N151">
        <v>2.88161232146052</v>
      </c>
      <c r="O151">
        <v>2</v>
      </c>
    </row>
    <row r="152" spans="1:15" x14ac:dyDescent="0.3">
      <c r="A152">
        <v>1151</v>
      </c>
      <c r="B152">
        <v>17</v>
      </c>
      <c r="C152">
        <v>0</v>
      </c>
      <c r="D152">
        <v>2</v>
      </c>
      <c r="E152">
        <v>2</v>
      </c>
      <c r="F152">
        <v>4.2912964018569904</v>
      </c>
      <c r="G152">
        <v>1</v>
      </c>
      <c r="H152">
        <v>0</v>
      </c>
      <c r="I152">
        <v>1</v>
      </c>
      <c r="J152">
        <v>0</v>
      </c>
      <c r="K152">
        <v>1</v>
      </c>
      <c r="L152">
        <v>1</v>
      </c>
      <c r="M152">
        <v>0</v>
      </c>
      <c r="N152">
        <v>2.8045049289116801</v>
      </c>
      <c r="O152">
        <v>2</v>
      </c>
    </row>
    <row r="153" spans="1:15" x14ac:dyDescent="0.3">
      <c r="A153">
        <v>1152</v>
      </c>
      <c r="B153">
        <v>17</v>
      </c>
      <c r="C153">
        <v>1</v>
      </c>
      <c r="D153">
        <v>1</v>
      </c>
      <c r="E153">
        <v>1</v>
      </c>
      <c r="F153">
        <v>14.7630150968337</v>
      </c>
      <c r="G153">
        <v>20</v>
      </c>
      <c r="H153">
        <v>1</v>
      </c>
      <c r="I153">
        <v>3</v>
      </c>
      <c r="J153">
        <v>0</v>
      </c>
      <c r="K153">
        <v>1</v>
      </c>
      <c r="L153">
        <v>0</v>
      </c>
      <c r="M153">
        <v>0</v>
      </c>
      <c r="N153">
        <v>1.7629211240998599</v>
      </c>
      <c r="O153">
        <v>4</v>
      </c>
    </row>
    <row r="154" spans="1:15" x14ac:dyDescent="0.3">
      <c r="A154">
        <v>1153</v>
      </c>
      <c r="B154">
        <v>15</v>
      </c>
      <c r="C154">
        <v>1</v>
      </c>
      <c r="D154">
        <v>0</v>
      </c>
      <c r="E154">
        <v>3</v>
      </c>
      <c r="F154">
        <v>3.7827739265348002</v>
      </c>
      <c r="G154">
        <v>22</v>
      </c>
      <c r="H154">
        <v>0</v>
      </c>
      <c r="I154">
        <v>4</v>
      </c>
      <c r="J154">
        <v>1</v>
      </c>
      <c r="K154">
        <v>0</v>
      </c>
      <c r="L154">
        <v>0</v>
      </c>
      <c r="M154">
        <v>1</v>
      </c>
      <c r="N154">
        <v>1.11991126295732</v>
      </c>
      <c r="O154">
        <v>4</v>
      </c>
    </row>
    <row r="155" spans="1:15" x14ac:dyDescent="0.3">
      <c r="A155">
        <v>1154</v>
      </c>
      <c r="B155">
        <v>17</v>
      </c>
      <c r="C155">
        <v>0</v>
      </c>
      <c r="D155">
        <v>0</v>
      </c>
      <c r="E155">
        <v>2</v>
      </c>
      <c r="F155">
        <v>11.469835277819501</v>
      </c>
      <c r="G155">
        <v>23</v>
      </c>
      <c r="H155">
        <v>0</v>
      </c>
      <c r="I155">
        <v>2</v>
      </c>
      <c r="J155">
        <v>0</v>
      </c>
      <c r="K155">
        <v>0</v>
      </c>
      <c r="L155">
        <v>0</v>
      </c>
      <c r="M155">
        <v>0</v>
      </c>
      <c r="N155">
        <v>1.0306575057198699</v>
      </c>
      <c r="O155">
        <v>4</v>
      </c>
    </row>
    <row r="156" spans="1:15" x14ac:dyDescent="0.3">
      <c r="A156">
        <v>1155</v>
      </c>
      <c r="B156">
        <v>15</v>
      </c>
      <c r="C156">
        <v>1</v>
      </c>
      <c r="D156">
        <v>0</v>
      </c>
      <c r="E156">
        <v>2</v>
      </c>
      <c r="F156">
        <v>4.3048764100190704</v>
      </c>
      <c r="G156">
        <v>2</v>
      </c>
      <c r="H156">
        <v>0</v>
      </c>
      <c r="I156">
        <v>2</v>
      </c>
      <c r="J156">
        <v>1</v>
      </c>
      <c r="K156">
        <v>0</v>
      </c>
      <c r="L156">
        <v>0</v>
      </c>
      <c r="M156">
        <v>0</v>
      </c>
      <c r="N156">
        <v>3.07561935366143</v>
      </c>
      <c r="O156">
        <v>1</v>
      </c>
    </row>
    <row r="157" spans="1:15" x14ac:dyDescent="0.3">
      <c r="A157">
        <v>1156</v>
      </c>
      <c r="B157">
        <v>16</v>
      </c>
      <c r="C157">
        <v>0</v>
      </c>
      <c r="D157">
        <v>0</v>
      </c>
      <c r="E157">
        <v>3</v>
      </c>
      <c r="F157">
        <v>17.2324990016795</v>
      </c>
      <c r="G157">
        <v>16</v>
      </c>
      <c r="H157">
        <v>1</v>
      </c>
      <c r="I157">
        <v>3</v>
      </c>
      <c r="J157">
        <v>1</v>
      </c>
      <c r="K157">
        <v>1</v>
      </c>
      <c r="L157">
        <v>0</v>
      </c>
      <c r="M157">
        <v>0</v>
      </c>
      <c r="N157">
        <v>2.6314340651244099</v>
      </c>
      <c r="O157">
        <v>2</v>
      </c>
    </row>
    <row r="158" spans="1:15" x14ac:dyDescent="0.3">
      <c r="A158">
        <v>1157</v>
      </c>
      <c r="B158">
        <v>17</v>
      </c>
      <c r="C158">
        <v>1</v>
      </c>
      <c r="D158">
        <v>0</v>
      </c>
      <c r="E158">
        <v>1</v>
      </c>
      <c r="F158">
        <v>18.8437090897927</v>
      </c>
      <c r="G158">
        <v>28</v>
      </c>
      <c r="H158">
        <v>0</v>
      </c>
      <c r="I158">
        <v>0</v>
      </c>
      <c r="J158">
        <v>0</v>
      </c>
      <c r="K158">
        <v>1</v>
      </c>
      <c r="L158">
        <v>1</v>
      </c>
      <c r="M158">
        <v>1</v>
      </c>
      <c r="N158">
        <v>0.50306690732791404</v>
      </c>
      <c r="O158">
        <v>4</v>
      </c>
    </row>
    <row r="159" spans="1:15" x14ac:dyDescent="0.3">
      <c r="A159">
        <v>1158</v>
      </c>
      <c r="B159">
        <v>16</v>
      </c>
      <c r="C159">
        <v>0</v>
      </c>
      <c r="D159">
        <v>0</v>
      </c>
      <c r="E159">
        <v>2</v>
      </c>
      <c r="F159">
        <v>10.3698594988448</v>
      </c>
      <c r="G159">
        <v>6</v>
      </c>
      <c r="H159">
        <v>0</v>
      </c>
      <c r="I159">
        <v>2</v>
      </c>
      <c r="J159">
        <v>0</v>
      </c>
      <c r="K159">
        <v>0</v>
      </c>
      <c r="L159">
        <v>0</v>
      </c>
      <c r="M159">
        <v>0</v>
      </c>
      <c r="N159">
        <v>2.7842378371428098</v>
      </c>
      <c r="O159">
        <v>2</v>
      </c>
    </row>
    <row r="160" spans="1:15" x14ac:dyDescent="0.3">
      <c r="A160">
        <v>1159</v>
      </c>
      <c r="B160">
        <v>15</v>
      </c>
      <c r="C160">
        <v>1</v>
      </c>
      <c r="D160">
        <v>0</v>
      </c>
      <c r="E160">
        <v>3</v>
      </c>
      <c r="F160">
        <v>7.0461776841835597</v>
      </c>
      <c r="G160">
        <v>28</v>
      </c>
      <c r="H160">
        <v>0</v>
      </c>
      <c r="I160">
        <v>2</v>
      </c>
      <c r="J160">
        <v>0</v>
      </c>
      <c r="K160">
        <v>0</v>
      </c>
      <c r="L160">
        <v>0</v>
      </c>
      <c r="M160">
        <v>0</v>
      </c>
      <c r="N160">
        <v>0.24762676508656301</v>
      </c>
      <c r="O160">
        <v>4</v>
      </c>
    </row>
    <row r="161" spans="1:15" x14ac:dyDescent="0.3">
      <c r="A161">
        <v>1160</v>
      </c>
      <c r="B161">
        <v>18</v>
      </c>
      <c r="C161">
        <v>0</v>
      </c>
      <c r="D161">
        <v>0</v>
      </c>
      <c r="E161">
        <v>1</v>
      </c>
      <c r="F161">
        <v>4.6811555003499796</v>
      </c>
      <c r="G161">
        <v>20</v>
      </c>
      <c r="H161">
        <v>0</v>
      </c>
      <c r="I161">
        <v>3</v>
      </c>
      <c r="J161">
        <v>0</v>
      </c>
      <c r="K161">
        <v>0</v>
      </c>
      <c r="L161">
        <v>0</v>
      </c>
      <c r="M161">
        <v>1</v>
      </c>
      <c r="N161">
        <v>1.1895487696187801</v>
      </c>
      <c r="O161">
        <v>4</v>
      </c>
    </row>
    <row r="162" spans="1:15" x14ac:dyDescent="0.3">
      <c r="A162">
        <v>1161</v>
      </c>
      <c r="B162">
        <v>17</v>
      </c>
      <c r="C162">
        <v>0</v>
      </c>
      <c r="D162">
        <v>2</v>
      </c>
      <c r="E162">
        <v>2</v>
      </c>
      <c r="F162">
        <v>0.99562003046087499</v>
      </c>
      <c r="G162">
        <v>4</v>
      </c>
      <c r="H162">
        <v>1</v>
      </c>
      <c r="I162">
        <v>3</v>
      </c>
      <c r="J162">
        <v>1</v>
      </c>
      <c r="K162">
        <v>0</v>
      </c>
      <c r="L162">
        <v>0</v>
      </c>
      <c r="M162">
        <v>1</v>
      </c>
      <c r="N162">
        <v>3.37599400880283</v>
      </c>
      <c r="O162">
        <v>1</v>
      </c>
    </row>
    <row r="163" spans="1:15" x14ac:dyDescent="0.3">
      <c r="A163">
        <v>1162</v>
      </c>
      <c r="B163">
        <v>15</v>
      </c>
      <c r="C163">
        <v>1</v>
      </c>
      <c r="D163">
        <v>3</v>
      </c>
      <c r="E163">
        <v>3</v>
      </c>
      <c r="F163">
        <v>5.3700015239498997</v>
      </c>
      <c r="G163">
        <v>22</v>
      </c>
      <c r="H163">
        <v>1</v>
      </c>
      <c r="I163">
        <v>3</v>
      </c>
      <c r="J163">
        <v>0</v>
      </c>
      <c r="K163">
        <v>0</v>
      </c>
      <c r="L163">
        <v>0</v>
      </c>
      <c r="M163">
        <v>0</v>
      </c>
      <c r="N163">
        <v>1.2935735564459501</v>
      </c>
      <c r="O163">
        <v>4</v>
      </c>
    </row>
    <row r="164" spans="1:15" x14ac:dyDescent="0.3">
      <c r="A164">
        <v>1163</v>
      </c>
      <c r="B164">
        <v>18</v>
      </c>
      <c r="C164">
        <v>0</v>
      </c>
      <c r="D164">
        <v>0</v>
      </c>
      <c r="E164">
        <v>2</v>
      </c>
      <c r="F164">
        <v>13.0847155989063</v>
      </c>
      <c r="G164">
        <v>0</v>
      </c>
      <c r="H164">
        <v>1</v>
      </c>
      <c r="I164">
        <v>3</v>
      </c>
      <c r="J164">
        <v>0</v>
      </c>
      <c r="K164">
        <v>0</v>
      </c>
      <c r="L164">
        <v>1</v>
      </c>
      <c r="M164">
        <v>1</v>
      </c>
      <c r="N164">
        <v>3.7185869042869601</v>
      </c>
      <c r="O164">
        <v>0</v>
      </c>
    </row>
    <row r="165" spans="1:15" x14ac:dyDescent="0.3">
      <c r="A165">
        <v>1164</v>
      </c>
      <c r="B165">
        <v>18</v>
      </c>
      <c r="C165">
        <v>1</v>
      </c>
      <c r="D165">
        <v>3</v>
      </c>
      <c r="E165">
        <v>2</v>
      </c>
      <c r="F165">
        <v>10.672338626184199</v>
      </c>
      <c r="G165">
        <v>7</v>
      </c>
      <c r="H165">
        <v>0</v>
      </c>
      <c r="I165">
        <v>3</v>
      </c>
      <c r="J165">
        <v>1</v>
      </c>
      <c r="K165">
        <v>0</v>
      </c>
      <c r="L165">
        <v>0</v>
      </c>
      <c r="M165">
        <v>0</v>
      </c>
      <c r="N165">
        <v>2.6705596148198198</v>
      </c>
      <c r="O165">
        <v>2</v>
      </c>
    </row>
    <row r="166" spans="1:15" x14ac:dyDescent="0.3">
      <c r="A166">
        <v>1165</v>
      </c>
      <c r="B166">
        <v>16</v>
      </c>
      <c r="C166">
        <v>1</v>
      </c>
      <c r="D166">
        <v>1</v>
      </c>
      <c r="E166">
        <v>3</v>
      </c>
      <c r="F166">
        <v>18.880825565618501</v>
      </c>
      <c r="G166">
        <v>11</v>
      </c>
      <c r="H166">
        <v>1</v>
      </c>
      <c r="I166">
        <v>2</v>
      </c>
      <c r="J166">
        <v>1</v>
      </c>
      <c r="K166">
        <v>0</v>
      </c>
      <c r="L166">
        <v>0</v>
      </c>
      <c r="M166">
        <v>0</v>
      </c>
      <c r="N166">
        <v>2.3696480134496101</v>
      </c>
      <c r="O166">
        <v>3</v>
      </c>
    </row>
    <row r="167" spans="1:15" x14ac:dyDescent="0.3">
      <c r="A167">
        <v>1166</v>
      </c>
      <c r="B167">
        <v>15</v>
      </c>
      <c r="C167">
        <v>0</v>
      </c>
      <c r="D167">
        <v>0</v>
      </c>
      <c r="E167">
        <v>3</v>
      </c>
      <c r="F167">
        <v>7.92554524983401</v>
      </c>
      <c r="G167">
        <v>13</v>
      </c>
      <c r="H167">
        <v>0</v>
      </c>
      <c r="I167">
        <v>2</v>
      </c>
      <c r="J167">
        <v>0</v>
      </c>
      <c r="K167">
        <v>1</v>
      </c>
      <c r="L167">
        <v>0</v>
      </c>
      <c r="M167">
        <v>0</v>
      </c>
      <c r="N167">
        <v>1.6244868202221501</v>
      </c>
      <c r="O167">
        <v>4</v>
      </c>
    </row>
    <row r="168" spans="1:15" x14ac:dyDescent="0.3">
      <c r="A168">
        <v>1167</v>
      </c>
      <c r="B168">
        <v>18</v>
      </c>
      <c r="C168">
        <v>1</v>
      </c>
      <c r="D168">
        <v>0</v>
      </c>
      <c r="E168">
        <v>1</v>
      </c>
      <c r="F168">
        <v>13.8772668465678</v>
      </c>
      <c r="G168">
        <v>15</v>
      </c>
      <c r="H168">
        <v>1</v>
      </c>
      <c r="I168">
        <v>2</v>
      </c>
      <c r="J168">
        <v>1</v>
      </c>
      <c r="K168">
        <v>1</v>
      </c>
      <c r="L168">
        <v>0</v>
      </c>
      <c r="M168">
        <v>0</v>
      </c>
      <c r="N168">
        <v>2.5374768278143498</v>
      </c>
      <c r="O168">
        <v>2</v>
      </c>
    </row>
    <row r="169" spans="1:15" x14ac:dyDescent="0.3">
      <c r="A169">
        <v>1168</v>
      </c>
      <c r="B169">
        <v>17</v>
      </c>
      <c r="C169">
        <v>1</v>
      </c>
      <c r="D169">
        <v>1</v>
      </c>
      <c r="E169">
        <v>0</v>
      </c>
      <c r="F169">
        <v>9.7864549495024207</v>
      </c>
      <c r="G169">
        <v>9</v>
      </c>
      <c r="H169">
        <v>0</v>
      </c>
      <c r="I169">
        <v>4</v>
      </c>
      <c r="J169">
        <v>0</v>
      </c>
      <c r="K169">
        <v>1</v>
      </c>
      <c r="L169">
        <v>0</v>
      </c>
      <c r="M169">
        <v>0</v>
      </c>
      <c r="N169">
        <v>2.2984179285094699</v>
      </c>
      <c r="O169">
        <v>3</v>
      </c>
    </row>
    <row r="170" spans="1:15" x14ac:dyDescent="0.3">
      <c r="A170">
        <v>1169</v>
      </c>
      <c r="B170">
        <v>17</v>
      </c>
      <c r="C170">
        <v>1</v>
      </c>
      <c r="D170">
        <v>2</v>
      </c>
      <c r="E170">
        <v>2</v>
      </c>
      <c r="F170">
        <v>10.251524318484201</v>
      </c>
      <c r="G170">
        <v>14</v>
      </c>
      <c r="H170">
        <v>0</v>
      </c>
      <c r="I170">
        <v>3</v>
      </c>
      <c r="J170">
        <v>1</v>
      </c>
      <c r="K170">
        <v>0</v>
      </c>
      <c r="L170">
        <v>0</v>
      </c>
      <c r="M170">
        <v>0</v>
      </c>
      <c r="N170">
        <v>2.2598041504961102</v>
      </c>
      <c r="O170">
        <v>3</v>
      </c>
    </row>
    <row r="171" spans="1:15" x14ac:dyDescent="0.3">
      <c r="A171">
        <v>1170</v>
      </c>
      <c r="B171">
        <v>16</v>
      </c>
      <c r="C171">
        <v>1</v>
      </c>
      <c r="D171">
        <v>2</v>
      </c>
      <c r="E171">
        <v>2</v>
      </c>
      <c r="F171">
        <v>5.3554862920823503</v>
      </c>
      <c r="G171">
        <v>20</v>
      </c>
      <c r="H171">
        <v>0</v>
      </c>
      <c r="I171">
        <v>2</v>
      </c>
      <c r="J171">
        <v>0</v>
      </c>
      <c r="K171">
        <v>1</v>
      </c>
      <c r="L171">
        <v>0</v>
      </c>
      <c r="M171">
        <v>0</v>
      </c>
      <c r="N171">
        <v>1.3213433008698801</v>
      </c>
      <c r="O171">
        <v>4</v>
      </c>
    </row>
    <row r="172" spans="1:15" x14ac:dyDescent="0.3">
      <c r="A172">
        <v>1171</v>
      </c>
      <c r="B172">
        <v>18</v>
      </c>
      <c r="C172">
        <v>1</v>
      </c>
      <c r="D172">
        <v>0</v>
      </c>
      <c r="E172">
        <v>2</v>
      </c>
      <c r="F172">
        <v>9.0990155368399908</v>
      </c>
      <c r="G172">
        <v>23</v>
      </c>
      <c r="H172">
        <v>0</v>
      </c>
      <c r="I172">
        <v>3</v>
      </c>
      <c r="J172">
        <v>0</v>
      </c>
      <c r="K172">
        <v>1</v>
      </c>
      <c r="L172">
        <v>0</v>
      </c>
      <c r="M172">
        <v>0</v>
      </c>
      <c r="N172">
        <v>0.94997422812385601</v>
      </c>
      <c r="O172">
        <v>4</v>
      </c>
    </row>
    <row r="173" spans="1:15" x14ac:dyDescent="0.3">
      <c r="A173">
        <v>1172</v>
      </c>
      <c r="B173">
        <v>15</v>
      </c>
      <c r="C173">
        <v>0</v>
      </c>
      <c r="D173">
        <v>0</v>
      </c>
      <c r="E173">
        <v>2</v>
      </c>
      <c r="F173">
        <v>9.4156999402541395</v>
      </c>
      <c r="G173">
        <v>25</v>
      </c>
      <c r="H173">
        <v>0</v>
      </c>
      <c r="I173">
        <v>2</v>
      </c>
      <c r="J173">
        <v>1</v>
      </c>
      <c r="K173">
        <v>0</v>
      </c>
      <c r="L173">
        <v>0</v>
      </c>
      <c r="M173">
        <v>1</v>
      </c>
      <c r="N173">
        <v>0.81878661607305103</v>
      </c>
      <c r="O173">
        <v>4</v>
      </c>
    </row>
    <row r="174" spans="1:15" x14ac:dyDescent="0.3">
      <c r="A174">
        <v>1173</v>
      </c>
      <c r="B174">
        <v>17</v>
      </c>
      <c r="C174">
        <v>1</v>
      </c>
      <c r="D174">
        <v>0</v>
      </c>
      <c r="E174">
        <v>1</v>
      </c>
      <c r="F174">
        <v>14.1328504349786</v>
      </c>
      <c r="G174">
        <v>14</v>
      </c>
      <c r="H174">
        <v>1</v>
      </c>
      <c r="I174">
        <v>3</v>
      </c>
      <c r="J174">
        <v>0</v>
      </c>
      <c r="K174">
        <v>0</v>
      </c>
      <c r="L174">
        <v>0</v>
      </c>
      <c r="M174">
        <v>0</v>
      </c>
      <c r="N174">
        <v>2.33922451275359</v>
      </c>
      <c r="O174">
        <v>3</v>
      </c>
    </row>
    <row r="175" spans="1:15" x14ac:dyDescent="0.3">
      <c r="A175">
        <v>1174</v>
      </c>
      <c r="B175">
        <v>18</v>
      </c>
      <c r="C175">
        <v>1</v>
      </c>
      <c r="D175">
        <v>0</v>
      </c>
      <c r="E175">
        <v>2</v>
      </c>
      <c r="F175">
        <v>18.812799983722201</v>
      </c>
      <c r="G175">
        <v>9</v>
      </c>
      <c r="H175">
        <v>0</v>
      </c>
      <c r="I175">
        <v>2</v>
      </c>
      <c r="J175">
        <v>0</v>
      </c>
      <c r="K175">
        <v>1</v>
      </c>
      <c r="L175">
        <v>0</v>
      </c>
      <c r="M175">
        <v>0</v>
      </c>
      <c r="N175">
        <v>2.6827762879633701</v>
      </c>
      <c r="O175">
        <v>2</v>
      </c>
    </row>
    <row r="176" spans="1:15" x14ac:dyDescent="0.3">
      <c r="A176">
        <v>1175</v>
      </c>
      <c r="B176">
        <v>18</v>
      </c>
      <c r="C176">
        <v>1</v>
      </c>
      <c r="D176">
        <v>0</v>
      </c>
      <c r="E176">
        <v>1</v>
      </c>
      <c r="F176">
        <v>6.5864255496500803</v>
      </c>
      <c r="G176">
        <v>20</v>
      </c>
      <c r="H176">
        <v>1</v>
      </c>
      <c r="I176">
        <v>1</v>
      </c>
      <c r="J176">
        <v>1</v>
      </c>
      <c r="K176">
        <v>0</v>
      </c>
      <c r="L176">
        <v>0</v>
      </c>
      <c r="M176">
        <v>0</v>
      </c>
      <c r="N176">
        <v>1.54383747108562</v>
      </c>
      <c r="O176">
        <v>4</v>
      </c>
    </row>
    <row r="177" spans="1:15" x14ac:dyDescent="0.3">
      <c r="A177">
        <v>1176</v>
      </c>
      <c r="B177">
        <v>16</v>
      </c>
      <c r="C177">
        <v>1</v>
      </c>
      <c r="D177">
        <v>0</v>
      </c>
      <c r="E177">
        <v>2</v>
      </c>
      <c r="F177">
        <v>0.84400937162596801</v>
      </c>
      <c r="G177">
        <v>27</v>
      </c>
      <c r="H177">
        <v>0</v>
      </c>
      <c r="I177">
        <v>3</v>
      </c>
      <c r="J177">
        <v>1</v>
      </c>
      <c r="K177">
        <v>0</v>
      </c>
      <c r="L177">
        <v>0</v>
      </c>
      <c r="M177">
        <v>0</v>
      </c>
      <c r="N177">
        <v>0.196901104823622</v>
      </c>
      <c r="O177">
        <v>4</v>
      </c>
    </row>
    <row r="178" spans="1:15" x14ac:dyDescent="0.3">
      <c r="A178">
        <v>1177</v>
      </c>
      <c r="B178">
        <v>17</v>
      </c>
      <c r="C178">
        <v>1</v>
      </c>
      <c r="D178">
        <v>2</v>
      </c>
      <c r="E178">
        <v>2</v>
      </c>
      <c r="F178">
        <v>9.92590251001279</v>
      </c>
      <c r="G178">
        <v>6</v>
      </c>
      <c r="H178">
        <v>0</v>
      </c>
      <c r="I178">
        <v>3</v>
      </c>
      <c r="J178">
        <v>0</v>
      </c>
      <c r="K178">
        <v>0</v>
      </c>
      <c r="L178">
        <v>0</v>
      </c>
      <c r="M178">
        <v>0</v>
      </c>
      <c r="N178">
        <v>2.74861025744808</v>
      </c>
      <c r="O178">
        <v>2</v>
      </c>
    </row>
    <row r="179" spans="1:15" x14ac:dyDescent="0.3">
      <c r="A179">
        <v>1178</v>
      </c>
      <c r="B179">
        <v>17</v>
      </c>
      <c r="C179">
        <v>0</v>
      </c>
      <c r="D179">
        <v>3</v>
      </c>
      <c r="E179">
        <v>1</v>
      </c>
      <c r="F179">
        <v>10.889226642983299</v>
      </c>
      <c r="G179">
        <v>25</v>
      </c>
      <c r="H179">
        <v>1</v>
      </c>
      <c r="I179">
        <v>2</v>
      </c>
      <c r="J179">
        <v>1</v>
      </c>
      <c r="K179">
        <v>0</v>
      </c>
      <c r="L179">
        <v>1</v>
      </c>
      <c r="M179">
        <v>0</v>
      </c>
      <c r="N179">
        <v>1.1048937876999401</v>
      </c>
      <c r="O179">
        <v>4</v>
      </c>
    </row>
    <row r="180" spans="1:15" x14ac:dyDescent="0.3">
      <c r="A180">
        <v>1179</v>
      </c>
      <c r="B180">
        <v>15</v>
      </c>
      <c r="C180">
        <v>1</v>
      </c>
      <c r="D180">
        <v>0</v>
      </c>
      <c r="E180">
        <v>1</v>
      </c>
      <c r="F180">
        <v>3.3688110226383001</v>
      </c>
      <c r="G180">
        <v>2</v>
      </c>
      <c r="H180">
        <v>0</v>
      </c>
      <c r="I180">
        <v>2</v>
      </c>
      <c r="J180">
        <v>1</v>
      </c>
      <c r="K180">
        <v>0</v>
      </c>
      <c r="L180">
        <v>0</v>
      </c>
      <c r="M180">
        <v>0</v>
      </c>
      <c r="N180">
        <v>2.5534398114439298</v>
      </c>
      <c r="O180">
        <v>2</v>
      </c>
    </row>
    <row r="181" spans="1:15" x14ac:dyDescent="0.3">
      <c r="A181">
        <v>1180</v>
      </c>
      <c r="B181">
        <v>17</v>
      </c>
      <c r="C181">
        <v>0</v>
      </c>
      <c r="D181">
        <v>3</v>
      </c>
      <c r="E181">
        <v>2</v>
      </c>
      <c r="F181">
        <v>15.2092921255213</v>
      </c>
      <c r="G181">
        <v>1</v>
      </c>
      <c r="H181">
        <v>0</v>
      </c>
      <c r="I181">
        <v>3</v>
      </c>
      <c r="J181">
        <v>1</v>
      </c>
      <c r="K181">
        <v>0</v>
      </c>
      <c r="L181">
        <v>0</v>
      </c>
      <c r="M181">
        <v>1</v>
      </c>
      <c r="N181">
        <v>3.2742334588098698</v>
      </c>
      <c r="O181">
        <v>1</v>
      </c>
    </row>
    <row r="182" spans="1:15" x14ac:dyDescent="0.3">
      <c r="A182">
        <v>1181</v>
      </c>
      <c r="B182">
        <v>15</v>
      </c>
      <c r="C182">
        <v>0</v>
      </c>
      <c r="D182">
        <v>0</v>
      </c>
      <c r="E182">
        <v>2</v>
      </c>
      <c r="F182">
        <v>19.698582168829802</v>
      </c>
      <c r="G182">
        <v>5</v>
      </c>
      <c r="H182">
        <v>1</v>
      </c>
      <c r="I182">
        <v>3</v>
      </c>
      <c r="J182">
        <v>0</v>
      </c>
      <c r="K182">
        <v>0</v>
      </c>
      <c r="L182">
        <v>0</v>
      </c>
      <c r="M182">
        <v>0</v>
      </c>
      <c r="N182">
        <v>3.1860603780389098</v>
      </c>
      <c r="O182">
        <v>1</v>
      </c>
    </row>
    <row r="183" spans="1:15" x14ac:dyDescent="0.3">
      <c r="A183">
        <v>1182</v>
      </c>
      <c r="B183">
        <v>17</v>
      </c>
      <c r="C183">
        <v>0</v>
      </c>
      <c r="D183">
        <v>0</v>
      </c>
      <c r="E183">
        <v>1</v>
      </c>
      <c r="F183">
        <v>18.9154943401692</v>
      </c>
      <c r="G183">
        <v>20</v>
      </c>
      <c r="H183">
        <v>0</v>
      </c>
      <c r="I183">
        <v>3</v>
      </c>
      <c r="J183">
        <v>1</v>
      </c>
      <c r="K183">
        <v>0</v>
      </c>
      <c r="L183">
        <v>0</v>
      </c>
      <c r="M183">
        <v>0</v>
      </c>
      <c r="N183">
        <v>1.7221157502405799</v>
      </c>
      <c r="O183">
        <v>4</v>
      </c>
    </row>
    <row r="184" spans="1:15" x14ac:dyDescent="0.3">
      <c r="A184">
        <v>1183</v>
      </c>
      <c r="B184">
        <v>16</v>
      </c>
      <c r="C184">
        <v>0</v>
      </c>
      <c r="D184">
        <v>0</v>
      </c>
      <c r="E184">
        <v>4</v>
      </c>
      <c r="F184">
        <v>3.9421207764730402</v>
      </c>
      <c r="G184">
        <v>8</v>
      </c>
      <c r="H184">
        <v>0</v>
      </c>
      <c r="I184">
        <v>2</v>
      </c>
      <c r="J184">
        <v>1</v>
      </c>
      <c r="K184">
        <v>1</v>
      </c>
      <c r="L184">
        <v>0</v>
      </c>
      <c r="M184">
        <v>0</v>
      </c>
      <c r="N184">
        <v>2.3380463575903701</v>
      </c>
      <c r="O184">
        <v>3</v>
      </c>
    </row>
    <row r="185" spans="1:15" x14ac:dyDescent="0.3">
      <c r="A185">
        <v>1184</v>
      </c>
      <c r="B185">
        <v>17</v>
      </c>
      <c r="C185">
        <v>1</v>
      </c>
      <c r="D185">
        <v>1</v>
      </c>
      <c r="E185">
        <v>2</v>
      </c>
      <c r="F185">
        <v>17.5072647980152</v>
      </c>
      <c r="G185">
        <v>9</v>
      </c>
      <c r="H185">
        <v>1</v>
      </c>
      <c r="I185">
        <v>4</v>
      </c>
      <c r="J185">
        <v>1</v>
      </c>
      <c r="K185">
        <v>1</v>
      </c>
      <c r="L185">
        <v>0</v>
      </c>
      <c r="M185">
        <v>0</v>
      </c>
      <c r="N185">
        <v>3.2739987484343298</v>
      </c>
      <c r="O185">
        <v>1</v>
      </c>
    </row>
    <row r="186" spans="1:15" x14ac:dyDescent="0.3">
      <c r="A186">
        <v>1185</v>
      </c>
      <c r="B186">
        <v>15</v>
      </c>
      <c r="C186">
        <v>0</v>
      </c>
      <c r="D186">
        <v>3</v>
      </c>
      <c r="E186">
        <v>4</v>
      </c>
      <c r="F186">
        <v>14.089872728233599</v>
      </c>
      <c r="G186">
        <v>3</v>
      </c>
      <c r="H186">
        <v>0</v>
      </c>
      <c r="I186">
        <v>3</v>
      </c>
      <c r="J186">
        <v>0</v>
      </c>
      <c r="K186">
        <v>0</v>
      </c>
      <c r="L186">
        <v>0</v>
      </c>
      <c r="M186">
        <v>0</v>
      </c>
      <c r="N186">
        <v>2.9935023912052698</v>
      </c>
      <c r="O186">
        <v>2</v>
      </c>
    </row>
    <row r="187" spans="1:15" x14ac:dyDescent="0.3">
      <c r="A187">
        <v>1186</v>
      </c>
      <c r="B187">
        <v>15</v>
      </c>
      <c r="C187">
        <v>0</v>
      </c>
      <c r="D187">
        <v>1</v>
      </c>
      <c r="E187">
        <v>2</v>
      </c>
      <c r="F187">
        <v>9.0769312761382306</v>
      </c>
      <c r="G187">
        <v>26</v>
      </c>
      <c r="H187">
        <v>1</v>
      </c>
      <c r="I187">
        <v>3</v>
      </c>
      <c r="J187">
        <v>1</v>
      </c>
      <c r="K187">
        <v>0</v>
      </c>
      <c r="L187">
        <v>0</v>
      </c>
      <c r="M187">
        <v>0</v>
      </c>
      <c r="N187">
        <v>0.89639789902339495</v>
      </c>
      <c r="O187">
        <v>4</v>
      </c>
    </row>
    <row r="188" spans="1:15" x14ac:dyDescent="0.3">
      <c r="A188">
        <v>1187</v>
      </c>
      <c r="B188">
        <v>16</v>
      </c>
      <c r="C188">
        <v>1</v>
      </c>
      <c r="D188">
        <v>0</v>
      </c>
      <c r="E188">
        <v>2</v>
      </c>
      <c r="F188">
        <v>10.8122198864945</v>
      </c>
      <c r="G188">
        <v>2</v>
      </c>
      <c r="H188">
        <v>0</v>
      </c>
      <c r="I188">
        <v>3</v>
      </c>
      <c r="J188">
        <v>0</v>
      </c>
      <c r="K188">
        <v>0</v>
      </c>
      <c r="L188">
        <v>0</v>
      </c>
      <c r="M188">
        <v>0</v>
      </c>
      <c r="N188">
        <v>2.9610552588035901</v>
      </c>
      <c r="O188">
        <v>2</v>
      </c>
    </row>
    <row r="189" spans="1:15" x14ac:dyDescent="0.3">
      <c r="A189">
        <v>1188</v>
      </c>
      <c r="B189">
        <v>17</v>
      </c>
      <c r="C189">
        <v>1</v>
      </c>
      <c r="D189">
        <v>1</v>
      </c>
      <c r="E189">
        <v>3</v>
      </c>
      <c r="F189">
        <v>16.992003499649101</v>
      </c>
      <c r="G189">
        <v>8</v>
      </c>
      <c r="H189">
        <v>0</v>
      </c>
      <c r="I189">
        <v>1</v>
      </c>
      <c r="J189">
        <v>1</v>
      </c>
      <c r="K189">
        <v>0</v>
      </c>
      <c r="L189">
        <v>0</v>
      </c>
      <c r="M189">
        <v>0</v>
      </c>
      <c r="N189">
        <v>2.6743510954520899</v>
      </c>
      <c r="O189">
        <v>2</v>
      </c>
    </row>
    <row r="190" spans="1:15" x14ac:dyDescent="0.3">
      <c r="A190">
        <v>1189</v>
      </c>
      <c r="B190">
        <v>17</v>
      </c>
      <c r="C190">
        <v>1</v>
      </c>
      <c r="D190">
        <v>0</v>
      </c>
      <c r="E190">
        <v>2</v>
      </c>
      <c r="F190">
        <v>9.6026987927674607</v>
      </c>
      <c r="G190">
        <v>23</v>
      </c>
      <c r="H190">
        <v>0</v>
      </c>
      <c r="I190">
        <v>0</v>
      </c>
      <c r="J190">
        <v>1</v>
      </c>
      <c r="K190">
        <v>1</v>
      </c>
      <c r="L190">
        <v>0</v>
      </c>
      <c r="M190">
        <v>0</v>
      </c>
      <c r="N190">
        <v>1.21787315133336</v>
      </c>
      <c r="O190">
        <v>4</v>
      </c>
    </row>
    <row r="191" spans="1:15" x14ac:dyDescent="0.3">
      <c r="A191">
        <v>1190</v>
      </c>
      <c r="B191">
        <v>16</v>
      </c>
      <c r="C191">
        <v>0</v>
      </c>
      <c r="D191">
        <v>2</v>
      </c>
      <c r="E191">
        <v>2</v>
      </c>
      <c r="F191">
        <v>7.4641473821025297</v>
      </c>
      <c r="G191">
        <v>21</v>
      </c>
      <c r="H191">
        <v>1</v>
      </c>
      <c r="I191">
        <v>3</v>
      </c>
      <c r="J191">
        <v>0</v>
      </c>
      <c r="K191">
        <v>0</v>
      </c>
      <c r="L191">
        <v>0</v>
      </c>
      <c r="M191">
        <v>0</v>
      </c>
      <c r="N191">
        <v>1.36559111032951</v>
      </c>
      <c r="O191">
        <v>4</v>
      </c>
    </row>
    <row r="192" spans="1:15" x14ac:dyDescent="0.3">
      <c r="A192">
        <v>1191</v>
      </c>
      <c r="B192">
        <v>17</v>
      </c>
      <c r="C192">
        <v>1</v>
      </c>
      <c r="D192">
        <v>1</v>
      </c>
      <c r="E192">
        <v>1</v>
      </c>
      <c r="F192">
        <v>9.8649498605197099</v>
      </c>
      <c r="G192">
        <v>16</v>
      </c>
      <c r="H192">
        <v>0</v>
      </c>
      <c r="I192">
        <v>2</v>
      </c>
      <c r="J192">
        <v>0</v>
      </c>
      <c r="K192">
        <v>0</v>
      </c>
      <c r="L192">
        <v>0</v>
      </c>
      <c r="M192">
        <v>1</v>
      </c>
      <c r="N192">
        <v>1.52227484468542</v>
      </c>
      <c r="O192">
        <v>4</v>
      </c>
    </row>
    <row r="193" spans="1:15" x14ac:dyDescent="0.3">
      <c r="A193">
        <v>1192</v>
      </c>
      <c r="B193">
        <v>17</v>
      </c>
      <c r="C193">
        <v>1</v>
      </c>
      <c r="D193">
        <v>0</v>
      </c>
      <c r="E193">
        <v>2</v>
      </c>
      <c r="F193">
        <v>11.582596080700901</v>
      </c>
      <c r="G193">
        <v>13</v>
      </c>
      <c r="H193">
        <v>1</v>
      </c>
      <c r="I193">
        <v>3</v>
      </c>
      <c r="J193">
        <v>0</v>
      </c>
      <c r="K193">
        <v>0</v>
      </c>
      <c r="L193">
        <v>0</v>
      </c>
      <c r="M193">
        <v>0</v>
      </c>
      <c r="N193">
        <v>2.2314023973705002</v>
      </c>
      <c r="O193">
        <v>3</v>
      </c>
    </row>
    <row r="194" spans="1:15" x14ac:dyDescent="0.3">
      <c r="A194">
        <v>1193</v>
      </c>
      <c r="B194">
        <v>15</v>
      </c>
      <c r="C194">
        <v>0</v>
      </c>
      <c r="D194">
        <v>1</v>
      </c>
      <c r="E194">
        <v>1</v>
      </c>
      <c r="F194">
        <v>3.7815530755669702</v>
      </c>
      <c r="G194">
        <v>9</v>
      </c>
      <c r="H194">
        <v>0</v>
      </c>
      <c r="I194">
        <v>2</v>
      </c>
      <c r="J194">
        <v>1</v>
      </c>
      <c r="K194">
        <v>0</v>
      </c>
      <c r="L194">
        <v>0</v>
      </c>
      <c r="M194">
        <v>0</v>
      </c>
      <c r="N194">
        <v>2.1352663548900899</v>
      </c>
      <c r="O194">
        <v>3</v>
      </c>
    </row>
    <row r="195" spans="1:15" x14ac:dyDescent="0.3">
      <c r="A195">
        <v>1194</v>
      </c>
      <c r="B195">
        <v>17</v>
      </c>
      <c r="C195">
        <v>1</v>
      </c>
      <c r="D195">
        <v>1</v>
      </c>
      <c r="E195">
        <v>1</v>
      </c>
      <c r="F195">
        <v>18.018154605339799</v>
      </c>
      <c r="G195">
        <v>12</v>
      </c>
      <c r="H195">
        <v>0</v>
      </c>
      <c r="I195">
        <v>2</v>
      </c>
      <c r="J195">
        <v>0</v>
      </c>
      <c r="K195">
        <v>0</v>
      </c>
      <c r="L195">
        <v>0</v>
      </c>
      <c r="M195">
        <v>0</v>
      </c>
      <c r="N195">
        <v>2.2556989149631401</v>
      </c>
      <c r="O195">
        <v>3</v>
      </c>
    </row>
    <row r="196" spans="1:15" x14ac:dyDescent="0.3">
      <c r="A196">
        <v>1195</v>
      </c>
      <c r="B196">
        <v>17</v>
      </c>
      <c r="C196">
        <v>1</v>
      </c>
      <c r="D196">
        <v>0</v>
      </c>
      <c r="E196">
        <v>0</v>
      </c>
      <c r="F196">
        <v>13.4837389765922</v>
      </c>
      <c r="G196">
        <v>11</v>
      </c>
      <c r="H196">
        <v>1</v>
      </c>
      <c r="I196">
        <v>1</v>
      </c>
      <c r="J196">
        <v>1</v>
      </c>
      <c r="K196">
        <v>0</v>
      </c>
      <c r="L196">
        <v>1</v>
      </c>
      <c r="M196">
        <v>0</v>
      </c>
      <c r="N196">
        <v>2.7511457876117</v>
      </c>
      <c r="O196">
        <v>2</v>
      </c>
    </row>
    <row r="197" spans="1:15" x14ac:dyDescent="0.3">
      <c r="A197">
        <v>1196</v>
      </c>
      <c r="B197">
        <v>16</v>
      </c>
      <c r="C197">
        <v>1</v>
      </c>
      <c r="D197">
        <v>1</v>
      </c>
      <c r="E197">
        <v>0</v>
      </c>
      <c r="F197">
        <v>12.6653783467497</v>
      </c>
      <c r="G197">
        <v>26</v>
      </c>
      <c r="H197">
        <v>0</v>
      </c>
      <c r="I197">
        <v>3</v>
      </c>
      <c r="J197">
        <v>1</v>
      </c>
      <c r="K197">
        <v>1</v>
      </c>
      <c r="L197">
        <v>0</v>
      </c>
      <c r="M197">
        <v>0</v>
      </c>
      <c r="N197">
        <v>0.89763415861640306</v>
      </c>
      <c r="O197">
        <v>4</v>
      </c>
    </row>
    <row r="198" spans="1:15" x14ac:dyDescent="0.3">
      <c r="A198">
        <v>1197</v>
      </c>
      <c r="B198">
        <v>16</v>
      </c>
      <c r="C198">
        <v>1</v>
      </c>
      <c r="D198">
        <v>0</v>
      </c>
      <c r="E198">
        <v>4</v>
      </c>
      <c r="F198">
        <v>1.9899245236127601</v>
      </c>
      <c r="G198">
        <v>0</v>
      </c>
      <c r="H198">
        <v>0</v>
      </c>
      <c r="I198">
        <v>1</v>
      </c>
      <c r="J198">
        <v>1</v>
      </c>
      <c r="K198">
        <v>0</v>
      </c>
      <c r="L198">
        <v>0</v>
      </c>
      <c r="M198">
        <v>1</v>
      </c>
      <c r="N198">
        <v>3.1173544347854998</v>
      </c>
      <c r="O198">
        <v>1</v>
      </c>
    </row>
    <row r="199" spans="1:15" x14ac:dyDescent="0.3">
      <c r="A199">
        <v>1198</v>
      </c>
      <c r="B199">
        <v>18</v>
      </c>
      <c r="C199">
        <v>0</v>
      </c>
      <c r="D199">
        <v>2</v>
      </c>
      <c r="E199">
        <v>1</v>
      </c>
      <c r="F199">
        <v>12.083478763451801</v>
      </c>
      <c r="G199">
        <v>27</v>
      </c>
      <c r="H199">
        <v>0</v>
      </c>
      <c r="I199">
        <v>3</v>
      </c>
      <c r="J199">
        <v>1</v>
      </c>
      <c r="K199">
        <v>0</v>
      </c>
      <c r="L199">
        <v>1</v>
      </c>
      <c r="M199">
        <v>0</v>
      </c>
      <c r="N199">
        <v>1.2875951312580001</v>
      </c>
      <c r="O199">
        <v>4</v>
      </c>
    </row>
    <row r="200" spans="1:15" x14ac:dyDescent="0.3">
      <c r="A200">
        <v>1199</v>
      </c>
      <c r="B200">
        <v>15</v>
      </c>
      <c r="C200">
        <v>1</v>
      </c>
      <c r="D200">
        <v>2</v>
      </c>
      <c r="E200">
        <v>2</v>
      </c>
      <c r="F200">
        <v>2.41921324476984</v>
      </c>
      <c r="G200">
        <v>21</v>
      </c>
      <c r="H200">
        <v>0</v>
      </c>
      <c r="I200">
        <v>2</v>
      </c>
      <c r="J200">
        <v>0</v>
      </c>
      <c r="K200">
        <v>0</v>
      </c>
      <c r="L200">
        <v>0</v>
      </c>
      <c r="M200">
        <v>0</v>
      </c>
      <c r="N200">
        <v>0.57105309803302495</v>
      </c>
      <c r="O200">
        <v>4</v>
      </c>
    </row>
    <row r="201" spans="1:15" x14ac:dyDescent="0.3">
      <c r="A201">
        <v>1200</v>
      </c>
      <c r="B201">
        <v>17</v>
      </c>
      <c r="C201">
        <v>1</v>
      </c>
      <c r="D201">
        <v>2</v>
      </c>
      <c r="E201">
        <v>3</v>
      </c>
      <c r="F201">
        <v>1.5739535039079799</v>
      </c>
      <c r="G201">
        <v>28</v>
      </c>
      <c r="H201">
        <v>0</v>
      </c>
      <c r="I201">
        <v>3</v>
      </c>
      <c r="J201">
        <v>1</v>
      </c>
      <c r="K201">
        <v>0</v>
      </c>
      <c r="L201">
        <v>0</v>
      </c>
      <c r="M201">
        <v>0</v>
      </c>
      <c r="N201">
        <v>0.58135579949497096</v>
      </c>
      <c r="O201">
        <v>4</v>
      </c>
    </row>
    <row r="202" spans="1:15" x14ac:dyDescent="0.3">
      <c r="A202">
        <v>1201</v>
      </c>
      <c r="B202">
        <v>17</v>
      </c>
      <c r="C202">
        <v>0</v>
      </c>
      <c r="D202">
        <v>1</v>
      </c>
      <c r="E202">
        <v>2</v>
      </c>
      <c r="F202">
        <v>10.5462179128478</v>
      </c>
      <c r="G202">
        <v>18</v>
      </c>
      <c r="H202">
        <v>0</v>
      </c>
      <c r="I202">
        <v>1</v>
      </c>
      <c r="J202">
        <v>0</v>
      </c>
      <c r="K202">
        <v>0</v>
      </c>
      <c r="L202">
        <v>1</v>
      </c>
      <c r="M202">
        <v>0</v>
      </c>
      <c r="N202">
        <v>1.6434624040739501</v>
      </c>
      <c r="O202">
        <v>4</v>
      </c>
    </row>
    <row r="203" spans="1:15" x14ac:dyDescent="0.3">
      <c r="A203">
        <v>1202</v>
      </c>
      <c r="B203">
        <v>18</v>
      </c>
      <c r="C203">
        <v>1</v>
      </c>
      <c r="D203">
        <v>1</v>
      </c>
      <c r="E203">
        <v>1</v>
      </c>
      <c r="F203">
        <v>8.0557106809298897</v>
      </c>
      <c r="G203">
        <v>18</v>
      </c>
      <c r="H203">
        <v>0</v>
      </c>
      <c r="I203">
        <v>1</v>
      </c>
      <c r="J203">
        <v>0</v>
      </c>
      <c r="K203">
        <v>0</v>
      </c>
      <c r="L203">
        <v>0</v>
      </c>
      <c r="M203">
        <v>0</v>
      </c>
      <c r="N203">
        <v>1.23484404078202</v>
      </c>
      <c r="O203">
        <v>4</v>
      </c>
    </row>
    <row r="204" spans="1:15" x14ac:dyDescent="0.3">
      <c r="A204">
        <v>1203</v>
      </c>
      <c r="B204">
        <v>17</v>
      </c>
      <c r="C204">
        <v>0</v>
      </c>
      <c r="D204">
        <v>0</v>
      </c>
      <c r="E204">
        <v>2</v>
      </c>
      <c r="F204">
        <v>11.776205403124401</v>
      </c>
      <c r="G204">
        <v>5</v>
      </c>
      <c r="H204">
        <v>0</v>
      </c>
      <c r="I204">
        <v>3</v>
      </c>
      <c r="J204">
        <v>0</v>
      </c>
      <c r="K204">
        <v>1</v>
      </c>
      <c r="L204">
        <v>0</v>
      </c>
      <c r="M204">
        <v>1</v>
      </c>
      <c r="N204">
        <v>2.96809361957976</v>
      </c>
      <c r="O204">
        <v>2</v>
      </c>
    </row>
    <row r="205" spans="1:15" x14ac:dyDescent="0.3">
      <c r="A205">
        <v>1204</v>
      </c>
      <c r="B205">
        <v>15</v>
      </c>
      <c r="C205">
        <v>1</v>
      </c>
      <c r="D205">
        <v>2</v>
      </c>
      <c r="E205">
        <v>2</v>
      </c>
      <c r="F205">
        <v>1.7844433611447701</v>
      </c>
      <c r="G205">
        <v>12</v>
      </c>
      <c r="H205">
        <v>0</v>
      </c>
      <c r="I205">
        <v>2</v>
      </c>
      <c r="J205">
        <v>1</v>
      </c>
      <c r="K205">
        <v>0</v>
      </c>
      <c r="L205">
        <v>0</v>
      </c>
      <c r="M205">
        <v>0</v>
      </c>
      <c r="N205">
        <v>2.0092984797223101</v>
      </c>
      <c r="O205">
        <v>3</v>
      </c>
    </row>
    <row r="206" spans="1:15" x14ac:dyDescent="0.3">
      <c r="A206">
        <v>1205</v>
      </c>
      <c r="B206">
        <v>18</v>
      </c>
      <c r="C206">
        <v>0</v>
      </c>
      <c r="D206">
        <v>0</v>
      </c>
      <c r="E206">
        <v>2</v>
      </c>
      <c r="F206">
        <v>8.6196612569451592</v>
      </c>
      <c r="G206">
        <v>18</v>
      </c>
      <c r="H206">
        <v>0</v>
      </c>
      <c r="I206">
        <v>1</v>
      </c>
      <c r="J206">
        <v>1</v>
      </c>
      <c r="K206">
        <v>0</v>
      </c>
      <c r="L206">
        <v>0</v>
      </c>
      <c r="M206">
        <v>0</v>
      </c>
      <c r="N206">
        <v>1.14608603412959</v>
      </c>
      <c r="O206">
        <v>4</v>
      </c>
    </row>
    <row r="207" spans="1:15" x14ac:dyDescent="0.3">
      <c r="A207">
        <v>1206</v>
      </c>
      <c r="B207">
        <v>15</v>
      </c>
      <c r="C207">
        <v>0</v>
      </c>
      <c r="D207">
        <v>0</v>
      </c>
      <c r="E207">
        <v>2</v>
      </c>
      <c r="F207">
        <v>3.4957343009031501</v>
      </c>
      <c r="G207">
        <v>12</v>
      </c>
      <c r="H207">
        <v>1</v>
      </c>
      <c r="I207">
        <v>4</v>
      </c>
      <c r="J207">
        <v>0</v>
      </c>
      <c r="K207">
        <v>0</v>
      </c>
      <c r="L207">
        <v>0</v>
      </c>
      <c r="M207">
        <v>0</v>
      </c>
      <c r="N207">
        <v>2.19236319785528</v>
      </c>
      <c r="O207">
        <v>3</v>
      </c>
    </row>
    <row r="208" spans="1:15" x14ac:dyDescent="0.3">
      <c r="A208">
        <v>1207</v>
      </c>
      <c r="B208">
        <v>18</v>
      </c>
      <c r="C208">
        <v>0</v>
      </c>
      <c r="D208">
        <v>0</v>
      </c>
      <c r="E208">
        <v>4</v>
      </c>
      <c r="F208">
        <v>19.7420017184823</v>
      </c>
      <c r="G208">
        <v>26</v>
      </c>
      <c r="H208">
        <v>1</v>
      </c>
      <c r="I208">
        <v>1</v>
      </c>
      <c r="J208">
        <v>1</v>
      </c>
      <c r="K208">
        <v>0</v>
      </c>
      <c r="L208">
        <v>0</v>
      </c>
      <c r="M208">
        <v>0</v>
      </c>
      <c r="N208">
        <v>0.94573087329994998</v>
      </c>
      <c r="O208">
        <v>4</v>
      </c>
    </row>
    <row r="209" spans="1:15" x14ac:dyDescent="0.3">
      <c r="A209">
        <v>1208</v>
      </c>
      <c r="B209">
        <v>18</v>
      </c>
      <c r="C209">
        <v>0</v>
      </c>
      <c r="D209">
        <v>0</v>
      </c>
      <c r="E209">
        <v>2</v>
      </c>
      <c r="F209">
        <v>11.223004248703401</v>
      </c>
      <c r="G209">
        <v>25</v>
      </c>
      <c r="H209">
        <v>0</v>
      </c>
      <c r="I209">
        <v>2</v>
      </c>
      <c r="J209">
        <v>1</v>
      </c>
      <c r="K209">
        <v>0</v>
      </c>
      <c r="L209">
        <v>0</v>
      </c>
      <c r="M209">
        <v>0</v>
      </c>
      <c r="N209">
        <v>0.56725002849029005</v>
      </c>
      <c r="O209">
        <v>4</v>
      </c>
    </row>
    <row r="210" spans="1:15" x14ac:dyDescent="0.3">
      <c r="A210">
        <v>1209</v>
      </c>
      <c r="B210">
        <v>16</v>
      </c>
      <c r="C210">
        <v>1</v>
      </c>
      <c r="D210">
        <v>1</v>
      </c>
      <c r="E210">
        <v>1</v>
      </c>
      <c r="F210">
        <v>13.7487372188173</v>
      </c>
      <c r="G210">
        <v>21</v>
      </c>
      <c r="H210">
        <v>0</v>
      </c>
      <c r="I210">
        <v>1</v>
      </c>
      <c r="J210">
        <v>0</v>
      </c>
      <c r="K210">
        <v>0</v>
      </c>
      <c r="L210">
        <v>0</v>
      </c>
      <c r="M210">
        <v>0</v>
      </c>
      <c r="N210">
        <v>0.97076434709282899</v>
      </c>
      <c r="O210">
        <v>4</v>
      </c>
    </row>
    <row r="211" spans="1:15" x14ac:dyDescent="0.3">
      <c r="A211">
        <v>1210</v>
      </c>
      <c r="B211">
        <v>15</v>
      </c>
      <c r="C211">
        <v>0</v>
      </c>
      <c r="D211">
        <v>0</v>
      </c>
      <c r="E211">
        <v>2</v>
      </c>
      <c r="F211">
        <v>6.5083656136521499</v>
      </c>
      <c r="G211">
        <v>20</v>
      </c>
      <c r="H211">
        <v>1</v>
      </c>
      <c r="I211">
        <v>2</v>
      </c>
      <c r="J211">
        <v>1</v>
      </c>
      <c r="K211">
        <v>0</v>
      </c>
      <c r="L211">
        <v>1</v>
      </c>
      <c r="M211">
        <v>1</v>
      </c>
      <c r="N211">
        <v>1.6560601255004599</v>
      </c>
      <c r="O211">
        <v>4</v>
      </c>
    </row>
    <row r="212" spans="1:15" x14ac:dyDescent="0.3">
      <c r="A212">
        <v>1211</v>
      </c>
      <c r="B212">
        <v>17</v>
      </c>
      <c r="C212">
        <v>1</v>
      </c>
      <c r="D212">
        <v>2</v>
      </c>
      <c r="E212">
        <v>0</v>
      </c>
      <c r="F212">
        <v>1.8947782955868799</v>
      </c>
      <c r="G212">
        <v>3</v>
      </c>
      <c r="H212">
        <v>0</v>
      </c>
      <c r="I212">
        <v>2</v>
      </c>
      <c r="J212">
        <v>0</v>
      </c>
      <c r="K212">
        <v>0</v>
      </c>
      <c r="L212">
        <v>1</v>
      </c>
      <c r="M212">
        <v>0</v>
      </c>
      <c r="N212">
        <v>2.8393132491560298</v>
      </c>
      <c r="O212">
        <v>2</v>
      </c>
    </row>
    <row r="213" spans="1:15" x14ac:dyDescent="0.3">
      <c r="A213">
        <v>1212</v>
      </c>
      <c r="B213">
        <v>17</v>
      </c>
      <c r="C213">
        <v>0</v>
      </c>
      <c r="D213">
        <v>0</v>
      </c>
      <c r="E213">
        <v>3</v>
      </c>
      <c r="F213">
        <v>19.517417255670701</v>
      </c>
      <c r="G213">
        <v>23</v>
      </c>
      <c r="H213">
        <v>0</v>
      </c>
      <c r="I213">
        <v>1</v>
      </c>
      <c r="J213">
        <v>0</v>
      </c>
      <c r="K213">
        <v>0</v>
      </c>
      <c r="L213">
        <v>1</v>
      </c>
      <c r="M213">
        <v>1</v>
      </c>
      <c r="N213">
        <v>0.189818059909026</v>
      </c>
      <c r="O213">
        <v>4</v>
      </c>
    </row>
    <row r="214" spans="1:15" x14ac:dyDescent="0.3">
      <c r="A214">
        <v>1213</v>
      </c>
      <c r="B214">
        <v>15</v>
      </c>
      <c r="C214">
        <v>0</v>
      </c>
      <c r="D214">
        <v>0</v>
      </c>
      <c r="E214">
        <v>1</v>
      </c>
      <c r="F214">
        <v>5.7251807076636601</v>
      </c>
      <c r="G214">
        <v>1</v>
      </c>
      <c r="H214">
        <v>0</v>
      </c>
      <c r="I214">
        <v>3</v>
      </c>
      <c r="J214">
        <v>1</v>
      </c>
      <c r="K214">
        <v>0</v>
      </c>
      <c r="L214">
        <v>0</v>
      </c>
      <c r="M214">
        <v>0</v>
      </c>
      <c r="N214">
        <v>3.2582946850228698</v>
      </c>
      <c r="O214">
        <v>1</v>
      </c>
    </row>
    <row r="215" spans="1:15" x14ac:dyDescent="0.3">
      <c r="A215">
        <v>1214</v>
      </c>
      <c r="B215">
        <v>17</v>
      </c>
      <c r="C215">
        <v>0</v>
      </c>
      <c r="D215">
        <v>1</v>
      </c>
      <c r="E215">
        <v>1</v>
      </c>
      <c r="F215">
        <v>8.4761637034714798</v>
      </c>
      <c r="G215">
        <v>14</v>
      </c>
      <c r="H215">
        <v>1</v>
      </c>
      <c r="I215">
        <v>2</v>
      </c>
      <c r="J215">
        <v>0</v>
      </c>
      <c r="K215">
        <v>0</v>
      </c>
      <c r="L215">
        <v>0</v>
      </c>
      <c r="M215">
        <v>0</v>
      </c>
      <c r="N215">
        <v>1.92005585265889</v>
      </c>
      <c r="O215">
        <v>4</v>
      </c>
    </row>
    <row r="216" spans="1:15" x14ac:dyDescent="0.3">
      <c r="A216">
        <v>1215</v>
      </c>
      <c r="B216">
        <v>17</v>
      </c>
      <c r="C216">
        <v>1</v>
      </c>
      <c r="D216">
        <v>0</v>
      </c>
      <c r="E216">
        <v>3</v>
      </c>
      <c r="F216">
        <v>12.9972784340515</v>
      </c>
      <c r="G216">
        <v>11</v>
      </c>
      <c r="H216">
        <v>0</v>
      </c>
      <c r="I216">
        <v>3</v>
      </c>
      <c r="J216">
        <v>0</v>
      </c>
      <c r="K216">
        <v>0</v>
      </c>
      <c r="L216">
        <v>0</v>
      </c>
      <c r="M216">
        <v>0</v>
      </c>
      <c r="N216">
        <v>2.0217714943693701</v>
      </c>
      <c r="O216">
        <v>3</v>
      </c>
    </row>
    <row r="217" spans="1:15" x14ac:dyDescent="0.3">
      <c r="A217">
        <v>1216</v>
      </c>
      <c r="B217">
        <v>15</v>
      </c>
      <c r="C217">
        <v>0</v>
      </c>
      <c r="D217">
        <v>0</v>
      </c>
      <c r="E217">
        <v>2</v>
      </c>
      <c r="F217">
        <v>0.493945953722225</v>
      </c>
      <c r="G217">
        <v>29</v>
      </c>
      <c r="H217">
        <v>1</v>
      </c>
      <c r="I217">
        <v>1</v>
      </c>
      <c r="J217">
        <v>1</v>
      </c>
      <c r="K217">
        <v>0</v>
      </c>
      <c r="L217">
        <v>0</v>
      </c>
      <c r="M217">
        <v>0</v>
      </c>
      <c r="N217">
        <v>0.12593307462494899</v>
      </c>
      <c r="O217">
        <v>4</v>
      </c>
    </row>
    <row r="218" spans="1:15" x14ac:dyDescent="0.3">
      <c r="A218">
        <v>1217</v>
      </c>
      <c r="B218">
        <v>18</v>
      </c>
      <c r="C218">
        <v>1</v>
      </c>
      <c r="D218">
        <v>2</v>
      </c>
      <c r="E218">
        <v>1</v>
      </c>
      <c r="F218">
        <v>16.205182610345702</v>
      </c>
      <c r="G218">
        <v>26</v>
      </c>
      <c r="H218">
        <v>1</v>
      </c>
      <c r="I218">
        <v>2</v>
      </c>
      <c r="J218">
        <v>1</v>
      </c>
      <c r="K218">
        <v>0</v>
      </c>
      <c r="L218">
        <v>0</v>
      </c>
      <c r="M218">
        <v>0</v>
      </c>
      <c r="N218">
        <v>1.2870134123902199</v>
      </c>
      <c r="O218">
        <v>4</v>
      </c>
    </row>
    <row r="219" spans="1:15" x14ac:dyDescent="0.3">
      <c r="A219">
        <v>1218</v>
      </c>
      <c r="B219">
        <v>15</v>
      </c>
      <c r="C219">
        <v>1</v>
      </c>
      <c r="D219">
        <v>0</v>
      </c>
      <c r="E219">
        <v>2</v>
      </c>
      <c r="F219">
        <v>10.731563800572401</v>
      </c>
      <c r="G219">
        <v>6</v>
      </c>
      <c r="H219">
        <v>0</v>
      </c>
      <c r="I219">
        <v>0</v>
      </c>
      <c r="J219">
        <v>1</v>
      </c>
      <c r="K219">
        <v>0</v>
      </c>
      <c r="L219">
        <v>1</v>
      </c>
      <c r="M219">
        <v>0</v>
      </c>
      <c r="N219">
        <v>2.5914267032293101</v>
      </c>
      <c r="O219">
        <v>2</v>
      </c>
    </row>
    <row r="220" spans="1:15" x14ac:dyDescent="0.3">
      <c r="A220">
        <v>1219</v>
      </c>
      <c r="B220">
        <v>18</v>
      </c>
      <c r="C220">
        <v>1</v>
      </c>
      <c r="D220">
        <v>2</v>
      </c>
      <c r="E220">
        <v>3</v>
      </c>
      <c r="F220">
        <v>5.5643437413764403</v>
      </c>
      <c r="G220">
        <v>19</v>
      </c>
      <c r="H220">
        <v>1</v>
      </c>
      <c r="I220">
        <v>3</v>
      </c>
      <c r="J220">
        <v>0</v>
      </c>
      <c r="K220">
        <v>0</v>
      </c>
      <c r="L220">
        <v>0</v>
      </c>
      <c r="M220">
        <v>0</v>
      </c>
      <c r="N220">
        <v>1.4633796485355901</v>
      </c>
      <c r="O220">
        <v>4</v>
      </c>
    </row>
    <row r="221" spans="1:15" x14ac:dyDescent="0.3">
      <c r="A221">
        <v>1220</v>
      </c>
      <c r="B221">
        <v>17</v>
      </c>
      <c r="C221">
        <v>1</v>
      </c>
      <c r="D221">
        <v>0</v>
      </c>
      <c r="E221">
        <v>1</v>
      </c>
      <c r="F221">
        <v>1.2321597058493801</v>
      </c>
      <c r="G221">
        <v>17</v>
      </c>
      <c r="H221">
        <v>0</v>
      </c>
      <c r="I221">
        <v>3</v>
      </c>
      <c r="J221">
        <v>0</v>
      </c>
      <c r="K221">
        <v>0</v>
      </c>
      <c r="L221">
        <v>0</v>
      </c>
      <c r="M221">
        <v>0</v>
      </c>
      <c r="N221">
        <v>1.4655493864338101</v>
      </c>
      <c r="O221">
        <v>4</v>
      </c>
    </row>
    <row r="222" spans="1:15" x14ac:dyDescent="0.3">
      <c r="A222">
        <v>1221</v>
      </c>
      <c r="B222">
        <v>17</v>
      </c>
      <c r="C222">
        <v>1</v>
      </c>
      <c r="D222">
        <v>0</v>
      </c>
      <c r="E222">
        <v>3</v>
      </c>
      <c r="F222">
        <v>3.2499683094888199</v>
      </c>
      <c r="G222">
        <v>22</v>
      </c>
      <c r="H222">
        <v>0</v>
      </c>
      <c r="I222">
        <v>3</v>
      </c>
      <c r="J222">
        <v>1</v>
      </c>
      <c r="K222">
        <v>1</v>
      </c>
      <c r="L222">
        <v>0</v>
      </c>
      <c r="M222">
        <v>1</v>
      </c>
      <c r="N222">
        <v>1.71046683770953</v>
      </c>
      <c r="O222">
        <v>4</v>
      </c>
    </row>
    <row r="223" spans="1:15" x14ac:dyDescent="0.3">
      <c r="A223">
        <v>1222</v>
      </c>
      <c r="B223">
        <v>17</v>
      </c>
      <c r="C223">
        <v>1</v>
      </c>
      <c r="D223">
        <v>2</v>
      </c>
      <c r="E223">
        <v>0</v>
      </c>
      <c r="F223">
        <v>17.900677177068701</v>
      </c>
      <c r="G223">
        <v>12</v>
      </c>
      <c r="H223">
        <v>0</v>
      </c>
      <c r="I223">
        <v>2</v>
      </c>
      <c r="J223">
        <v>0</v>
      </c>
      <c r="K223">
        <v>1</v>
      </c>
      <c r="L223">
        <v>0</v>
      </c>
      <c r="M223">
        <v>1</v>
      </c>
      <c r="N223">
        <v>2.2885056852522299</v>
      </c>
      <c r="O223">
        <v>3</v>
      </c>
    </row>
    <row r="224" spans="1:15" x14ac:dyDescent="0.3">
      <c r="A224">
        <v>1223</v>
      </c>
      <c r="B224">
        <v>16</v>
      </c>
      <c r="C224">
        <v>1</v>
      </c>
      <c r="D224">
        <v>0</v>
      </c>
      <c r="E224">
        <v>2</v>
      </c>
      <c r="F224">
        <v>13.7204844787178</v>
      </c>
      <c r="G224">
        <v>16</v>
      </c>
      <c r="H224">
        <v>0</v>
      </c>
      <c r="I224">
        <v>3</v>
      </c>
      <c r="J224">
        <v>0</v>
      </c>
      <c r="K224">
        <v>0</v>
      </c>
      <c r="L224">
        <v>1</v>
      </c>
      <c r="M224">
        <v>0</v>
      </c>
      <c r="N224">
        <v>1.96096884865323</v>
      </c>
      <c r="O224">
        <v>4</v>
      </c>
    </row>
    <row r="225" spans="1:15" x14ac:dyDescent="0.3">
      <c r="A225">
        <v>1224</v>
      </c>
      <c r="B225">
        <v>18</v>
      </c>
      <c r="C225">
        <v>1</v>
      </c>
      <c r="D225">
        <v>0</v>
      </c>
      <c r="E225">
        <v>3</v>
      </c>
      <c r="F225">
        <v>4.9980344327377901</v>
      </c>
      <c r="G225">
        <v>3</v>
      </c>
      <c r="H225">
        <v>0</v>
      </c>
      <c r="I225">
        <v>3</v>
      </c>
      <c r="J225">
        <v>0</v>
      </c>
      <c r="K225">
        <v>0</v>
      </c>
      <c r="L225">
        <v>0</v>
      </c>
      <c r="M225">
        <v>0</v>
      </c>
      <c r="N225">
        <v>2.6216233262773398</v>
      </c>
      <c r="O225">
        <v>2</v>
      </c>
    </row>
    <row r="226" spans="1:15" x14ac:dyDescent="0.3">
      <c r="A226">
        <v>1225</v>
      </c>
      <c r="B226">
        <v>16</v>
      </c>
      <c r="C226">
        <v>1</v>
      </c>
      <c r="D226">
        <v>0</v>
      </c>
      <c r="E226">
        <v>1</v>
      </c>
      <c r="F226">
        <v>1.31201529890059</v>
      </c>
      <c r="G226">
        <v>24</v>
      </c>
      <c r="H226">
        <v>0</v>
      </c>
      <c r="I226">
        <v>0</v>
      </c>
      <c r="J226">
        <v>1</v>
      </c>
      <c r="K226">
        <v>0</v>
      </c>
      <c r="L226">
        <v>0</v>
      </c>
      <c r="M226">
        <v>0</v>
      </c>
      <c r="N226">
        <v>0.76831638598366703</v>
      </c>
      <c r="O226">
        <v>4</v>
      </c>
    </row>
    <row r="227" spans="1:15" x14ac:dyDescent="0.3">
      <c r="A227">
        <v>1226</v>
      </c>
      <c r="B227">
        <v>16</v>
      </c>
      <c r="C227">
        <v>0</v>
      </c>
      <c r="D227">
        <v>0</v>
      </c>
      <c r="E227">
        <v>2</v>
      </c>
      <c r="F227">
        <v>13.8123062477327</v>
      </c>
      <c r="G227">
        <v>13</v>
      </c>
      <c r="H227">
        <v>0</v>
      </c>
      <c r="I227">
        <v>1</v>
      </c>
      <c r="J227">
        <v>0</v>
      </c>
      <c r="K227">
        <v>0</v>
      </c>
      <c r="L227">
        <v>1</v>
      </c>
      <c r="M227">
        <v>0</v>
      </c>
      <c r="N227">
        <v>1.8064063454058099</v>
      </c>
      <c r="O227">
        <v>4</v>
      </c>
    </row>
    <row r="228" spans="1:15" x14ac:dyDescent="0.3">
      <c r="A228">
        <v>1227</v>
      </c>
      <c r="B228">
        <v>15</v>
      </c>
      <c r="C228">
        <v>0</v>
      </c>
      <c r="D228">
        <v>2</v>
      </c>
      <c r="E228">
        <v>1</v>
      </c>
      <c r="F228">
        <v>11.448154519355301</v>
      </c>
      <c r="G228">
        <v>19</v>
      </c>
      <c r="H228">
        <v>0</v>
      </c>
      <c r="I228">
        <v>2</v>
      </c>
      <c r="J228">
        <v>0</v>
      </c>
      <c r="K228">
        <v>0</v>
      </c>
      <c r="L228">
        <v>0</v>
      </c>
      <c r="M228">
        <v>0</v>
      </c>
      <c r="N228">
        <v>0.88186635307776995</v>
      </c>
      <c r="O228">
        <v>4</v>
      </c>
    </row>
    <row r="229" spans="1:15" x14ac:dyDescent="0.3">
      <c r="A229">
        <v>1228</v>
      </c>
      <c r="B229">
        <v>16</v>
      </c>
      <c r="C229">
        <v>0</v>
      </c>
      <c r="D229">
        <v>0</v>
      </c>
      <c r="E229">
        <v>2</v>
      </c>
      <c r="F229">
        <v>8.0903904891646992</v>
      </c>
      <c r="G229">
        <v>27</v>
      </c>
      <c r="H229">
        <v>0</v>
      </c>
      <c r="I229">
        <v>3</v>
      </c>
      <c r="J229">
        <v>0</v>
      </c>
      <c r="K229">
        <v>1</v>
      </c>
      <c r="L229">
        <v>0</v>
      </c>
      <c r="M229">
        <v>0</v>
      </c>
      <c r="N229">
        <v>0.81706822065634699</v>
      </c>
      <c r="O229">
        <v>4</v>
      </c>
    </row>
    <row r="230" spans="1:15" x14ac:dyDescent="0.3">
      <c r="A230">
        <v>1229</v>
      </c>
      <c r="B230">
        <v>15</v>
      </c>
      <c r="C230">
        <v>0</v>
      </c>
      <c r="D230">
        <v>2</v>
      </c>
      <c r="E230">
        <v>2</v>
      </c>
      <c r="F230">
        <v>7.2722289838012699</v>
      </c>
      <c r="G230">
        <v>12</v>
      </c>
      <c r="H230">
        <v>1</v>
      </c>
      <c r="I230">
        <v>0</v>
      </c>
      <c r="J230">
        <v>0</v>
      </c>
      <c r="K230">
        <v>0</v>
      </c>
      <c r="L230">
        <v>0</v>
      </c>
      <c r="M230">
        <v>0</v>
      </c>
      <c r="N230">
        <v>1.4461325277019601</v>
      </c>
      <c r="O230">
        <v>4</v>
      </c>
    </row>
    <row r="231" spans="1:15" x14ac:dyDescent="0.3">
      <c r="A231">
        <v>1230</v>
      </c>
      <c r="B231">
        <v>15</v>
      </c>
      <c r="C231">
        <v>0</v>
      </c>
      <c r="D231">
        <v>2</v>
      </c>
      <c r="E231">
        <v>2</v>
      </c>
      <c r="F231">
        <v>4.3362855185821596</v>
      </c>
      <c r="G231">
        <v>2</v>
      </c>
      <c r="H231">
        <v>0</v>
      </c>
      <c r="I231">
        <v>3</v>
      </c>
      <c r="J231">
        <v>0</v>
      </c>
      <c r="K231">
        <v>1</v>
      </c>
      <c r="L231">
        <v>0</v>
      </c>
      <c r="M231">
        <v>0</v>
      </c>
      <c r="N231">
        <v>3.33909436220031</v>
      </c>
      <c r="O231">
        <v>1</v>
      </c>
    </row>
    <row r="232" spans="1:15" x14ac:dyDescent="0.3">
      <c r="A232">
        <v>1231</v>
      </c>
      <c r="B232">
        <v>16</v>
      </c>
      <c r="C232">
        <v>1</v>
      </c>
      <c r="D232">
        <v>0</v>
      </c>
      <c r="E232">
        <v>1</v>
      </c>
      <c r="F232">
        <v>13.392225130750299</v>
      </c>
      <c r="G232">
        <v>25</v>
      </c>
      <c r="H232">
        <v>0</v>
      </c>
      <c r="I232">
        <v>2</v>
      </c>
      <c r="J232">
        <v>0</v>
      </c>
      <c r="K232">
        <v>0</v>
      </c>
      <c r="L232">
        <v>0</v>
      </c>
      <c r="M232">
        <v>0</v>
      </c>
      <c r="N232">
        <v>0.819625477947445</v>
      </c>
      <c r="O232">
        <v>4</v>
      </c>
    </row>
    <row r="233" spans="1:15" x14ac:dyDescent="0.3">
      <c r="A233">
        <v>1232</v>
      </c>
      <c r="B233">
        <v>18</v>
      </c>
      <c r="C233">
        <v>1</v>
      </c>
      <c r="D233">
        <v>3</v>
      </c>
      <c r="E233">
        <v>1</v>
      </c>
      <c r="F233">
        <v>19.4133605558774</v>
      </c>
      <c r="G233">
        <v>25</v>
      </c>
      <c r="H233">
        <v>0</v>
      </c>
      <c r="I233">
        <v>2</v>
      </c>
      <c r="J233">
        <v>0</v>
      </c>
      <c r="K233">
        <v>0</v>
      </c>
      <c r="L233">
        <v>0</v>
      </c>
      <c r="M233">
        <v>0</v>
      </c>
      <c r="N233">
        <v>0.676817973111282</v>
      </c>
      <c r="O233">
        <v>4</v>
      </c>
    </row>
    <row r="234" spans="1:15" x14ac:dyDescent="0.3">
      <c r="A234">
        <v>1233</v>
      </c>
      <c r="B234">
        <v>18</v>
      </c>
      <c r="C234">
        <v>1</v>
      </c>
      <c r="D234">
        <v>0</v>
      </c>
      <c r="E234">
        <v>0</v>
      </c>
      <c r="F234">
        <v>3.5143049167365099</v>
      </c>
      <c r="G234">
        <v>17</v>
      </c>
      <c r="H234">
        <v>0</v>
      </c>
      <c r="I234">
        <v>1</v>
      </c>
      <c r="J234">
        <v>0</v>
      </c>
      <c r="K234">
        <v>1</v>
      </c>
      <c r="L234">
        <v>0</v>
      </c>
      <c r="M234">
        <v>1</v>
      </c>
      <c r="N234">
        <v>1.3895448744649701</v>
      </c>
      <c r="O234">
        <v>4</v>
      </c>
    </row>
    <row r="235" spans="1:15" x14ac:dyDescent="0.3">
      <c r="A235">
        <v>1234</v>
      </c>
      <c r="B235">
        <v>18</v>
      </c>
      <c r="C235">
        <v>1</v>
      </c>
      <c r="D235">
        <v>3</v>
      </c>
      <c r="E235">
        <v>1</v>
      </c>
      <c r="F235">
        <v>11.942332400310001</v>
      </c>
      <c r="G235">
        <v>13</v>
      </c>
      <c r="H235">
        <v>0</v>
      </c>
      <c r="I235">
        <v>2</v>
      </c>
      <c r="J235">
        <v>0</v>
      </c>
      <c r="K235">
        <v>1</v>
      </c>
      <c r="L235">
        <v>0</v>
      </c>
      <c r="M235">
        <v>1</v>
      </c>
      <c r="N235">
        <v>1.99150841402517</v>
      </c>
      <c r="O235">
        <v>4</v>
      </c>
    </row>
    <row r="236" spans="1:15" x14ac:dyDescent="0.3">
      <c r="A236">
        <v>1235</v>
      </c>
      <c r="B236">
        <v>18</v>
      </c>
      <c r="C236">
        <v>1</v>
      </c>
      <c r="D236">
        <v>0</v>
      </c>
      <c r="E236">
        <v>2</v>
      </c>
      <c r="F236">
        <v>8.4837011149195192</v>
      </c>
      <c r="G236">
        <v>14</v>
      </c>
      <c r="H236">
        <v>0</v>
      </c>
      <c r="I236">
        <v>0</v>
      </c>
      <c r="J236">
        <v>0</v>
      </c>
      <c r="K236">
        <v>1</v>
      </c>
      <c r="L236">
        <v>0</v>
      </c>
      <c r="M236">
        <v>0</v>
      </c>
      <c r="N236">
        <v>1.6398675504146101</v>
      </c>
      <c r="O236">
        <v>4</v>
      </c>
    </row>
    <row r="237" spans="1:15" x14ac:dyDescent="0.3">
      <c r="A237">
        <v>1236</v>
      </c>
      <c r="B237">
        <v>18</v>
      </c>
      <c r="C237">
        <v>1</v>
      </c>
      <c r="D237">
        <v>1</v>
      </c>
      <c r="E237">
        <v>3</v>
      </c>
      <c r="F237">
        <v>8.9337744348932908</v>
      </c>
      <c r="G237">
        <v>2</v>
      </c>
      <c r="H237">
        <v>0</v>
      </c>
      <c r="I237">
        <v>0</v>
      </c>
      <c r="J237">
        <v>0</v>
      </c>
      <c r="K237">
        <v>1</v>
      </c>
      <c r="L237">
        <v>0</v>
      </c>
      <c r="M237">
        <v>0</v>
      </c>
      <c r="N237">
        <v>2.5117430206054201</v>
      </c>
      <c r="O237">
        <v>2</v>
      </c>
    </row>
    <row r="238" spans="1:15" x14ac:dyDescent="0.3">
      <c r="A238">
        <v>1237</v>
      </c>
      <c r="B238">
        <v>16</v>
      </c>
      <c r="C238">
        <v>1</v>
      </c>
      <c r="D238">
        <v>0</v>
      </c>
      <c r="E238">
        <v>2</v>
      </c>
      <c r="F238">
        <v>5.08294560255628</v>
      </c>
      <c r="G238">
        <v>0</v>
      </c>
      <c r="H238">
        <v>0</v>
      </c>
      <c r="I238">
        <v>3</v>
      </c>
      <c r="J238">
        <v>0</v>
      </c>
      <c r="K238">
        <v>0</v>
      </c>
      <c r="L238">
        <v>1</v>
      </c>
      <c r="M238">
        <v>0</v>
      </c>
      <c r="N238">
        <v>2.9839199495864901</v>
      </c>
      <c r="O238">
        <v>2</v>
      </c>
    </row>
    <row r="239" spans="1:15" x14ac:dyDescent="0.3">
      <c r="A239">
        <v>1238</v>
      </c>
      <c r="B239">
        <v>16</v>
      </c>
      <c r="C239">
        <v>0</v>
      </c>
      <c r="D239">
        <v>0</v>
      </c>
      <c r="E239">
        <v>2</v>
      </c>
      <c r="F239">
        <v>16.502697513228298</v>
      </c>
      <c r="G239">
        <v>25</v>
      </c>
      <c r="H239">
        <v>1</v>
      </c>
      <c r="I239">
        <v>2</v>
      </c>
      <c r="J239">
        <v>0</v>
      </c>
      <c r="K239">
        <v>0</v>
      </c>
      <c r="L239">
        <v>1</v>
      </c>
      <c r="M239">
        <v>0</v>
      </c>
      <c r="N239">
        <v>1.2586548544320499</v>
      </c>
      <c r="O239">
        <v>4</v>
      </c>
    </row>
    <row r="240" spans="1:15" x14ac:dyDescent="0.3">
      <c r="A240">
        <v>1239</v>
      </c>
      <c r="B240">
        <v>17</v>
      </c>
      <c r="C240">
        <v>0</v>
      </c>
      <c r="D240">
        <v>1</v>
      </c>
      <c r="E240">
        <v>4</v>
      </c>
      <c r="F240">
        <v>9.7051120829448205</v>
      </c>
      <c r="G240">
        <v>23</v>
      </c>
      <c r="H240">
        <v>1</v>
      </c>
      <c r="I240">
        <v>2</v>
      </c>
      <c r="J240">
        <v>0</v>
      </c>
      <c r="K240">
        <v>0</v>
      </c>
      <c r="L240">
        <v>0</v>
      </c>
      <c r="M240">
        <v>0</v>
      </c>
      <c r="N240">
        <v>1.4179299273727499</v>
      </c>
      <c r="O240">
        <v>4</v>
      </c>
    </row>
    <row r="241" spans="1:15" x14ac:dyDescent="0.3">
      <c r="A241">
        <v>1240</v>
      </c>
      <c r="B241">
        <v>18</v>
      </c>
      <c r="C241">
        <v>0</v>
      </c>
      <c r="D241">
        <v>2</v>
      </c>
      <c r="E241">
        <v>2</v>
      </c>
      <c r="F241">
        <v>10.868117043965199</v>
      </c>
      <c r="G241">
        <v>16</v>
      </c>
      <c r="H241">
        <v>0</v>
      </c>
      <c r="I241">
        <v>1</v>
      </c>
      <c r="J241">
        <v>1</v>
      </c>
      <c r="K241">
        <v>0</v>
      </c>
      <c r="L241">
        <v>1</v>
      </c>
      <c r="M241">
        <v>0</v>
      </c>
      <c r="N241">
        <v>1.59701657238176</v>
      </c>
      <c r="O241">
        <v>4</v>
      </c>
    </row>
    <row r="242" spans="1:15" x14ac:dyDescent="0.3">
      <c r="A242">
        <v>1241</v>
      </c>
      <c r="B242">
        <v>16</v>
      </c>
      <c r="C242">
        <v>0</v>
      </c>
      <c r="D242">
        <v>0</v>
      </c>
      <c r="E242">
        <v>3</v>
      </c>
      <c r="F242">
        <v>6.0952182559465102</v>
      </c>
      <c r="G242">
        <v>2</v>
      </c>
      <c r="H242">
        <v>1</v>
      </c>
      <c r="I242">
        <v>2</v>
      </c>
      <c r="J242">
        <v>0</v>
      </c>
      <c r="K242">
        <v>1</v>
      </c>
      <c r="L242">
        <v>0</v>
      </c>
      <c r="M242">
        <v>0</v>
      </c>
      <c r="N242">
        <v>3.0886998681859499</v>
      </c>
      <c r="O242">
        <v>1</v>
      </c>
    </row>
    <row r="243" spans="1:15" x14ac:dyDescent="0.3">
      <c r="A243">
        <v>1242</v>
      </c>
      <c r="B243">
        <v>17</v>
      </c>
      <c r="C243">
        <v>1</v>
      </c>
      <c r="D243">
        <v>0</v>
      </c>
      <c r="E243">
        <v>2</v>
      </c>
      <c r="F243">
        <v>3.6361693133389901</v>
      </c>
      <c r="G243">
        <v>13</v>
      </c>
      <c r="H243">
        <v>0</v>
      </c>
      <c r="I243">
        <v>0</v>
      </c>
      <c r="J243">
        <v>1</v>
      </c>
      <c r="K243">
        <v>1</v>
      </c>
      <c r="L243">
        <v>0</v>
      </c>
      <c r="M243">
        <v>0</v>
      </c>
      <c r="N243">
        <v>1.6413414427787101</v>
      </c>
      <c r="O243">
        <v>4</v>
      </c>
    </row>
    <row r="244" spans="1:15" x14ac:dyDescent="0.3">
      <c r="A244">
        <v>1243</v>
      </c>
      <c r="B244">
        <v>18</v>
      </c>
      <c r="C244">
        <v>1</v>
      </c>
      <c r="D244">
        <v>2</v>
      </c>
      <c r="E244">
        <v>1</v>
      </c>
      <c r="F244">
        <v>1.7182077640564</v>
      </c>
      <c r="G244">
        <v>2</v>
      </c>
      <c r="H244">
        <v>0</v>
      </c>
      <c r="I244">
        <v>2</v>
      </c>
      <c r="J244">
        <v>0</v>
      </c>
      <c r="K244">
        <v>1</v>
      </c>
      <c r="L244">
        <v>0</v>
      </c>
      <c r="M244">
        <v>0</v>
      </c>
      <c r="N244">
        <v>2.5868706562634198</v>
      </c>
      <c r="O244">
        <v>2</v>
      </c>
    </row>
    <row r="245" spans="1:15" x14ac:dyDescent="0.3">
      <c r="A245">
        <v>1244</v>
      </c>
      <c r="B245">
        <v>15</v>
      </c>
      <c r="C245">
        <v>1</v>
      </c>
      <c r="D245">
        <v>1</v>
      </c>
      <c r="E245">
        <v>0</v>
      </c>
      <c r="F245">
        <v>14.2823828184983</v>
      </c>
      <c r="G245">
        <v>12</v>
      </c>
      <c r="H245">
        <v>1</v>
      </c>
      <c r="I245">
        <v>2</v>
      </c>
      <c r="J245">
        <v>0</v>
      </c>
      <c r="K245">
        <v>0</v>
      </c>
      <c r="L245">
        <v>0</v>
      </c>
      <c r="M245">
        <v>0</v>
      </c>
      <c r="N245">
        <v>2.38903264521218</v>
      </c>
      <c r="O245">
        <v>3</v>
      </c>
    </row>
    <row r="246" spans="1:15" x14ac:dyDescent="0.3">
      <c r="A246">
        <v>1245</v>
      </c>
      <c r="B246">
        <v>17</v>
      </c>
      <c r="C246">
        <v>0</v>
      </c>
      <c r="D246">
        <v>3</v>
      </c>
      <c r="E246">
        <v>2</v>
      </c>
      <c r="F246">
        <v>3.9246856337571101</v>
      </c>
      <c r="G246">
        <v>14</v>
      </c>
      <c r="H246">
        <v>0</v>
      </c>
      <c r="I246">
        <v>2</v>
      </c>
      <c r="J246">
        <v>1</v>
      </c>
      <c r="K246">
        <v>0</v>
      </c>
      <c r="L246">
        <v>0</v>
      </c>
      <c r="M246">
        <v>0</v>
      </c>
      <c r="N246">
        <v>1.8981464002812201</v>
      </c>
      <c r="O246">
        <v>4</v>
      </c>
    </row>
    <row r="247" spans="1:15" x14ac:dyDescent="0.3">
      <c r="A247">
        <v>1246</v>
      </c>
      <c r="B247">
        <v>16</v>
      </c>
      <c r="C247">
        <v>1</v>
      </c>
      <c r="D247">
        <v>2</v>
      </c>
      <c r="E247">
        <v>1</v>
      </c>
      <c r="F247">
        <v>13.801507083775901</v>
      </c>
      <c r="G247">
        <v>17</v>
      </c>
      <c r="H247">
        <v>0</v>
      </c>
      <c r="I247">
        <v>4</v>
      </c>
      <c r="J247">
        <v>0</v>
      </c>
      <c r="K247">
        <v>1</v>
      </c>
      <c r="L247">
        <v>0</v>
      </c>
      <c r="M247">
        <v>0</v>
      </c>
      <c r="N247">
        <v>2.1104879749817398</v>
      </c>
      <c r="O247">
        <v>3</v>
      </c>
    </row>
    <row r="248" spans="1:15" x14ac:dyDescent="0.3">
      <c r="A248">
        <v>1247</v>
      </c>
      <c r="B248">
        <v>15</v>
      </c>
      <c r="C248">
        <v>1</v>
      </c>
      <c r="D248">
        <v>3</v>
      </c>
      <c r="E248">
        <v>1</v>
      </c>
      <c r="F248">
        <v>7.8075289209390704</v>
      </c>
      <c r="G248">
        <v>13</v>
      </c>
      <c r="H248">
        <v>0</v>
      </c>
      <c r="I248">
        <v>2</v>
      </c>
      <c r="J248">
        <v>0</v>
      </c>
      <c r="K248">
        <v>0</v>
      </c>
      <c r="L248">
        <v>0</v>
      </c>
      <c r="M248">
        <v>0</v>
      </c>
      <c r="N248">
        <v>1.7002735894049099</v>
      </c>
      <c r="O248">
        <v>4</v>
      </c>
    </row>
    <row r="249" spans="1:15" x14ac:dyDescent="0.3">
      <c r="A249">
        <v>1248</v>
      </c>
      <c r="B249">
        <v>15</v>
      </c>
      <c r="C249">
        <v>1</v>
      </c>
      <c r="D249">
        <v>2</v>
      </c>
      <c r="E249">
        <v>2</v>
      </c>
      <c r="F249">
        <v>8.3154960197930201</v>
      </c>
      <c r="G249">
        <v>20</v>
      </c>
      <c r="H249">
        <v>0</v>
      </c>
      <c r="I249">
        <v>2</v>
      </c>
      <c r="J249">
        <v>1</v>
      </c>
      <c r="K249">
        <v>0</v>
      </c>
      <c r="L249">
        <v>0</v>
      </c>
      <c r="M249">
        <v>0</v>
      </c>
      <c r="N249">
        <v>1.0444999950877101</v>
      </c>
      <c r="O249">
        <v>4</v>
      </c>
    </row>
    <row r="250" spans="1:15" x14ac:dyDescent="0.3">
      <c r="A250">
        <v>1249</v>
      </c>
      <c r="B250">
        <v>15</v>
      </c>
      <c r="C250">
        <v>0</v>
      </c>
      <c r="D250">
        <v>0</v>
      </c>
      <c r="E250">
        <v>2</v>
      </c>
      <c r="F250">
        <v>9.3835499218554297</v>
      </c>
      <c r="G250">
        <v>25</v>
      </c>
      <c r="H250">
        <v>0</v>
      </c>
      <c r="I250">
        <v>2</v>
      </c>
      <c r="J250">
        <v>0</v>
      </c>
      <c r="K250">
        <v>1</v>
      </c>
      <c r="L250">
        <v>0</v>
      </c>
      <c r="M250">
        <v>0</v>
      </c>
      <c r="N250">
        <v>1.19416613376447</v>
      </c>
      <c r="O250">
        <v>4</v>
      </c>
    </row>
    <row r="251" spans="1:15" x14ac:dyDescent="0.3">
      <c r="A251">
        <v>1250</v>
      </c>
      <c r="B251">
        <v>17</v>
      </c>
      <c r="C251">
        <v>1</v>
      </c>
      <c r="D251">
        <v>0</v>
      </c>
      <c r="E251">
        <v>2</v>
      </c>
      <c r="F251">
        <v>7.3541701625508598</v>
      </c>
      <c r="G251">
        <v>2</v>
      </c>
      <c r="H251">
        <v>0</v>
      </c>
      <c r="I251">
        <v>1</v>
      </c>
      <c r="J251">
        <v>0</v>
      </c>
      <c r="K251">
        <v>0</v>
      </c>
      <c r="L251">
        <v>1</v>
      </c>
      <c r="M251">
        <v>0</v>
      </c>
      <c r="N251">
        <v>2.6491368281965499</v>
      </c>
      <c r="O251">
        <v>2</v>
      </c>
    </row>
    <row r="252" spans="1:15" x14ac:dyDescent="0.3">
      <c r="A252">
        <v>1251</v>
      </c>
      <c r="B252">
        <v>16</v>
      </c>
      <c r="C252">
        <v>0</v>
      </c>
      <c r="D252">
        <v>2</v>
      </c>
      <c r="E252">
        <v>1</v>
      </c>
      <c r="F252">
        <v>2.0123995444517999</v>
      </c>
      <c r="G252">
        <v>18</v>
      </c>
      <c r="H252">
        <v>0</v>
      </c>
      <c r="I252">
        <v>3</v>
      </c>
      <c r="J252">
        <v>0</v>
      </c>
      <c r="K252">
        <v>1</v>
      </c>
      <c r="L252">
        <v>0</v>
      </c>
      <c r="M252">
        <v>0</v>
      </c>
      <c r="N252">
        <v>1.23414138892773</v>
      </c>
      <c r="O252">
        <v>4</v>
      </c>
    </row>
    <row r="253" spans="1:15" x14ac:dyDescent="0.3">
      <c r="A253">
        <v>1252</v>
      </c>
      <c r="B253">
        <v>15</v>
      </c>
      <c r="C253">
        <v>0</v>
      </c>
      <c r="D253">
        <v>1</v>
      </c>
      <c r="E253">
        <v>1</v>
      </c>
      <c r="F253">
        <v>6.19263620005691</v>
      </c>
      <c r="G253">
        <v>7</v>
      </c>
      <c r="H253">
        <v>0</v>
      </c>
      <c r="I253">
        <v>2</v>
      </c>
      <c r="J253">
        <v>1</v>
      </c>
      <c r="K253">
        <v>0</v>
      </c>
      <c r="L253">
        <v>0</v>
      </c>
      <c r="M253">
        <v>0</v>
      </c>
      <c r="N253">
        <v>2.1274088659128201</v>
      </c>
      <c r="O253">
        <v>3</v>
      </c>
    </row>
    <row r="254" spans="1:15" x14ac:dyDescent="0.3">
      <c r="A254">
        <v>1253</v>
      </c>
      <c r="B254">
        <v>18</v>
      </c>
      <c r="C254">
        <v>0</v>
      </c>
      <c r="D254">
        <v>0</v>
      </c>
      <c r="E254">
        <v>2</v>
      </c>
      <c r="F254">
        <v>13.2746872138787</v>
      </c>
      <c r="G254">
        <v>3</v>
      </c>
      <c r="H254">
        <v>1</v>
      </c>
      <c r="I254">
        <v>1</v>
      </c>
      <c r="J254">
        <v>1</v>
      </c>
      <c r="K254">
        <v>0</v>
      </c>
      <c r="L254">
        <v>0</v>
      </c>
      <c r="M254">
        <v>0</v>
      </c>
      <c r="N254">
        <v>2.9138876491381298</v>
      </c>
      <c r="O254">
        <v>2</v>
      </c>
    </row>
    <row r="255" spans="1:15" x14ac:dyDescent="0.3">
      <c r="A255">
        <v>1254</v>
      </c>
      <c r="B255">
        <v>15</v>
      </c>
      <c r="C255">
        <v>0</v>
      </c>
      <c r="D255">
        <v>0</v>
      </c>
      <c r="E255">
        <v>4</v>
      </c>
      <c r="F255">
        <v>13.3156880293774</v>
      </c>
      <c r="G255">
        <v>3</v>
      </c>
      <c r="H255">
        <v>0</v>
      </c>
      <c r="I255">
        <v>3</v>
      </c>
      <c r="J255">
        <v>0</v>
      </c>
      <c r="K255">
        <v>0</v>
      </c>
      <c r="L255">
        <v>0</v>
      </c>
      <c r="M255">
        <v>1</v>
      </c>
      <c r="N255">
        <v>3.1193939131503701</v>
      </c>
      <c r="O255">
        <v>1</v>
      </c>
    </row>
    <row r="256" spans="1:15" x14ac:dyDescent="0.3">
      <c r="A256">
        <v>1255</v>
      </c>
      <c r="B256">
        <v>15</v>
      </c>
      <c r="C256">
        <v>1</v>
      </c>
      <c r="D256">
        <v>3</v>
      </c>
      <c r="E256">
        <v>2</v>
      </c>
      <c r="F256">
        <v>5.7244861447998803</v>
      </c>
      <c r="G256">
        <v>18</v>
      </c>
      <c r="H256">
        <v>1</v>
      </c>
      <c r="I256">
        <v>0</v>
      </c>
      <c r="J256">
        <v>0</v>
      </c>
      <c r="K256">
        <v>0</v>
      </c>
      <c r="L256">
        <v>0</v>
      </c>
      <c r="M256">
        <v>0</v>
      </c>
      <c r="N256">
        <v>1.0363787383257299</v>
      </c>
      <c r="O256">
        <v>4</v>
      </c>
    </row>
    <row r="257" spans="1:15" x14ac:dyDescent="0.3">
      <c r="A257">
        <v>1256</v>
      </c>
      <c r="B257">
        <v>17</v>
      </c>
      <c r="C257">
        <v>0</v>
      </c>
      <c r="D257">
        <v>1</v>
      </c>
      <c r="E257">
        <v>3</v>
      </c>
      <c r="F257">
        <v>9.2020525311537593</v>
      </c>
      <c r="G257">
        <v>10</v>
      </c>
      <c r="H257">
        <v>0</v>
      </c>
      <c r="I257">
        <v>4</v>
      </c>
      <c r="J257">
        <v>1</v>
      </c>
      <c r="K257">
        <v>0</v>
      </c>
      <c r="L257">
        <v>0</v>
      </c>
      <c r="M257">
        <v>1</v>
      </c>
      <c r="N257">
        <v>2.40328454702352</v>
      </c>
      <c r="O257">
        <v>3</v>
      </c>
    </row>
    <row r="258" spans="1:15" x14ac:dyDescent="0.3">
      <c r="A258">
        <v>1257</v>
      </c>
      <c r="B258">
        <v>17</v>
      </c>
      <c r="C258">
        <v>0</v>
      </c>
      <c r="D258">
        <v>0</v>
      </c>
      <c r="E258">
        <v>2</v>
      </c>
      <c r="F258">
        <v>3.8689445602387398</v>
      </c>
      <c r="G258">
        <v>0</v>
      </c>
      <c r="H258">
        <v>1</v>
      </c>
      <c r="I258">
        <v>3</v>
      </c>
      <c r="J258">
        <v>0</v>
      </c>
      <c r="K258">
        <v>0</v>
      </c>
      <c r="L258">
        <v>0</v>
      </c>
      <c r="M258">
        <v>0</v>
      </c>
      <c r="N258">
        <v>3.1565080639094401</v>
      </c>
      <c r="O258">
        <v>1</v>
      </c>
    </row>
    <row r="259" spans="1:15" x14ac:dyDescent="0.3">
      <c r="A259">
        <v>1258</v>
      </c>
      <c r="B259">
        <v>16</v>
      </c>
      <c r="C259">
        <v>1</v>
      </c>
      <c r="D259">
        <v>0</v>
      </c>
      <c r="E259">
        <v>2</v>
      </c>
      <c r="F259">
        <v>4.2074416305967102</v>
      </c>
      <c r="G259">
        <v>7</v>
      </c>
      <c r="H259">
        <v>1</v>
      </c>
      <c r="I259">
        <v>2</v>
      </c>
      <c r="J259">
        <v>0</v>
      </c>
      <c r="K259">
        <v>1</v>
      </c>
      <c r="L259">
        <v>1</v>
      </c>
      <c r="M259">
        <v>0</v>
      </c>
      <c r="N259">
        <v>2.7234718587400599</v>
      </c>
      <c r="O259">
        <v>2</v>
      </c>
    </row>
    <row r="260" spans="1:15" x14ac:dyDescent="0.3">
      <c r="A260">
        <v>1259</v>
      </c>
      <c r="B260">
        <v>18</v>
      </c>
      <c r="C260">
        <v>1</v>
      </c>
      <c r="D260">
        <v>0</v>
      </c>
      <c r="E260">
        <v>1</v>
      </c>
      <c r="F260">
        <v>0.46094176813214799</v>
      </c>
      <c r="G260">
        <v>14</v>
      </c>
      <c r="H260">
        <v>0</v>
      </c>
      <c r="I260">
        <v>1</v>
      </c>
      <c r="J260">
        <v>1</v>
      </c>
      <c r="K260">
        <v>1</v>
      </c>
      <c r="L260">
        <v>0</v>
      </c>
      <c r="M260">
        <v>0</v>
      </c>
      <c r="N260">
        <v>1.5309511463109</v>
      </c>
      <c r="O260">
        <v>4</v>
      </c>
    </row>
    <row r="261" spans="1:15" x14ac:dyDescent="0.3">
      <c r="A261">
        <v>1260</v>
      </c>
      <c r="B261">
        <v>17</v>
      </c>
      <c r="C261">
        <v>0</v>
      </c>
      <c r="D261">
        <v>0</v>
      </c>
      <c r="E261">
        <v>2</v>
      </c>
      <c r="F261">
        <v>17.934930998154801</v>
      </c>
      <c r="G261">
        <v>0</v>
      </c>
      <c r="H261">
        <v>0</v>
      </c>
      <c r="I261">
        <v>1</v>
      </c>
      <c r="J261">
        <v>0</v>
      </c>
      <c r="K261">
        <v>0</v>
      </c>
      <c r="L261">
        <v>0</v>
      </c>
      <c r="M261">
        <v>0</v>
      </c>
      <c r="N261">
        <v>3.4685813491357198</v>
      </c>
      <c r="O261">
        <v>1</v>
      </c>
    </row>
    <row r="262" spans="1:15" x14ac:dyDescent="0.3">
      <c r="A262">
        <v>1261</v>
      </c>
      <c r="B262">
        <v>15</v>
      </c>
      <c r="C262">
        <v>1</v>
      </c>
      <c r="D262">
        <v>0</v>
      </c>
      <c r="E262">
        <v>2</v>
      </c>
      <c r="F262">
        <v>4.2141333014981202</v>
      </c>
      <c r="G262">
        <v>6</v>
      </c>
      <c r="H262">
        <v>0</v>
      </c>
      <c r="I262">
        <v>1</v>
      </c>
      <c r="J262">
        <v>1</v>
      </c>
      <c r="K262">
        <v>0</v>
      </c>
      <c r="L262">
        <v>0</v>
      </c>
      <c r="M262">
        <v>0</v>
      </c>
      <c r="N262">
        <v>2.3020320443414</v>
      </c>
      <c r="O262">
        <v>3</v>
      </c>
    </row>
    <row r="263" spans="1:15" x14ac:dyDescent="0.3">
      <c r="A263">
        <v>1262</v>
      </c>
      <c r="B263">
        <v>16</v>
      </c>
      <c r="C263">
        <v>0</v>
      </c>
      <c r="D263">
        <v>0</v>
      </c>
      <c r="E263">
        <v>2</v>
      </c>
      <c r="F263">
        <v>4.5506775387292597</v>
      </c>
      <c r="G263">
        <v>20</v>
      </c>
      <c r="H263">
        <v>1</v>
      </c>
      <c r="I263">
        <v>1</v>
      </c>
      <c r="J263">
        <v>1</v>
      </c>
      <c r="K263">
        <v>0</v>
      </c>
      <c r="L263">
        <v>0</v>
      </c>
      <c r="M263">
        <v>0</v>
      </c>
      <c r="N263">
        <v>1.2656779091994299</v>
      </c>
      <c r="O263">
        <v>4</v>
      </c>
    </row>
    <row r="264" spans="1:15" x14ac:dyDescent="0.3">
      <c r="A264">
        <v>1263</v>
      </c>
      <c r="B264">
        <v>15</v>
      </c>
      <c r="C264">
        <v>0</v>
      </c>
      <c r="D264">
        <v>2</v>
      </c>
      <c r="E264">
        <v>2</v>
      </c>
      <c r="F264">
        <v>5.5920286529026297</v>
      </c>
      <c r="G264">
        <v>19</v>
      </c>
      <c r="H264">
        <v>0</v>
      </c>
      <c r="I264">
        <v>2</v>
      </c>
      <c r="J264">
        <v>1</v>
      </c>
      <c r="K264">
        <v>1</v>
      </c>
      <c r="L264">
        <v>0</v>
      </c>
      <c r="M264">
        <v>1</v>
      </c>
      <c r="N264">
        <v>1.4796022277390299</v>
      </c>
      <c r="O264">
        <v>4</v>
      </c>
    </row>
    <row r="265" spans="1:15" x14ac:dyDescent="0.3">
      <c r="A265">
        <v>1264</v>
      </c>
      <c r="B265">
        <v>15</v>
      </c>
      <c r="C265">
        <v>0</v>
      </c>
      <c r="D265">
        <v>0</v>
      </c>
      <c r="E265">
        <v>2</v>
      </c>
      <c r="F265">
        <v>2.5481614339085801</v>
      </c>
      <c r="G265">
        <v>19</v>
      </c>
      <c r="H265">
        <v>0</v>
      </c>
      <c r="I265">
        <v>4</v>
      </c>
      <c r="J265">
        <v>0</v>
      </c>
      <c r="K265">
        <v>0</v>
      </c>
      <c r="L265">
        <v>1</v>
      </c>
      <c r="M265">
        <v>1</v>
      </c>
      <c r="N265">
        <v>1.4450767191993701</v>
      </c>
      <c r="O265">
        <v>4</v>
      </c>
    </row>
    <row r="266" spans="1:15" x14ac:dyDescent="0.3">
      <c r="A266">
        <v>1265</v>
      </c>
      <c r="B266">
        <v>17</v>
      </c>
      <c r="C266">
        <v>0</v>
      </c>
      <c r="D266">
        <v>2</v>
      </c>
      <c r="E266">
        <v>1</v>
      </c>
      <c r="F266">
        <v>12.785257663627201</v>
      </c>
      <c r="G266">
        <v>23</v>
      </c>
      <c r="H266">
        <v>0</v>
      </c>
      <c r="I266">
        <v>2</v>
      </c>
      <c r="J266">
        <v>0</v>
      </c>
      <c r="K266">
        <v>0</v>
      </c>
      <c r="L266">
        <v>0</v>
      </c>
      <c r="M266">
        <v>0</v>
      </c>
      <c r="N266">
        <v>0.80943381036846196</v>
      </c>
      <c r="O266">
        <v>4</v>
      </c>
    </row>
    <row r="267" spans="1:15" x14ac:dyDescent="0.3">
      <c r="A267">
        <v>1266</v>
      </c>
      <c r="B267">
        <v>16</v>
      </c>
      <c r="C267">
        <v>1</v>
      </c>
      <c r="D267">
        <v>2</v>
      </c>
      <c r="E267">
        <v>2</v>
      </c>
      <c r="F267">
        <v>1.50285906355173</v>
      </c>
      <c r="G267">
        <v>10</v>
      </c>
      <c r="H267">
        <v>1</v>
      </c>
      <c r="I267">
        <v>3</v>
      </c>
      <c r="J267">
        <v>0</v>
      </c>
      <c r="K267">
        <v>0</v>
      </c>
      <c r="L267">
        <v>0</v>
      </c>
      <c r="M267">
        <v>0</v>
      </c>
      <c r="N267">
        <v>2.1502332699887798</v>
      </c>
      <c r="O267">
        <v>3</v>
      </c>
    </row>
    <row r="268" spans="1:15" x14ac:dyDescent="0.3">
      <c r="A268">
        <v>1267</v>
      </c>
      <c r="B268">
        <v>18</v>
      </c>
      <c r="C268">
        <v>0</v>
      </c>
      <c r="D268">
        <v>0</v>
      </c>
      <c r="E268">
        <v>1</v>
      </c>
      <c r="F268">
        <v>2.684048526527</v>
      </c>
      <c r="G268">
        <v>26</v>
      </c>
      <c r="H268">
        <v>0</v>
      </c>
      <c r="I268">
        <v>3</v>
      </c>
      <c r="J268">
        <v>0</v>
      </c>
      <c r="K268">
        <v>0</v>
      </c>
      <c r="L268">
        <v>0</v>
      </c>
      <c r="M268">
        <v>0</v>
      </c>
      <c r="N268">
        <v>0.55914371551184405</v>
      </c>
      <c r="O268">
        <v>4</v>
      </c>
    </row>
    <row r="269" spans="1:15" x14ac:dyDescent="0.3">
      <c r="A269">
        <v>1268</v>
      </c>
      <c r="B269">
        <v>18</v>
      </c>
      <c r="C269">
        <v>1</v>
      </c>
      <c r="D269">
        <v>1</v>
      </c>
      <c r="E269">
        <v>3</v>
      </c>
      <c r="F269">
        <v>12.8951345318018</v>
      </c>
      <c r="G269">
        <v>28</v>
      </c>
      <c r="H269">
        <v>0</v>
      </c>
      <c r="I269">
        <v>3</v>
      </c>
      <c r="J269">
        <v>0</v>
      </c>
      <c r="K269">
        <v>0</v>
      </c>
      <c r="L269">
        <v>0</v>
      </c>
      <c r="M269">
        <v>0</v>
      </c>
      <c r="N269">
        <v>0.58078848517705595</v>
      </c>
      <c r="O269">
        <v>4</v>
      </c>
    </row>
    <row r="270" spans="1:15" x14ac:dyDescent="0.3">
      <c r="A270">
        <v>1269</v>
      </c>
      <c r="B270">
        <v>17</v>
      </c>
      <c r="C270">
        <v>1</v>
      </c>
      <c r="D270">
        <v>0</v>
      </c>
      <c r="E270">
        <v>1</v>
      </c>
      <c r="F270">
        <v>6.7932124096288504</v>
      </c>
      <c r="G270">
        <v>13</v>
      </c>
      <c r="H270">
        <v>0</v>
      </c>
      <c r="I270">
        <v>0</v>
      </c>
      <c r="J270">
        <v>0</v>
      </c>
      <c r="K270">
        <v>1</v>
      </c>
      <c r="L270">
        <v>1</v>
      </c>
      <c r="M270">
        <v>1</v>
      </c>
      <c r="N270">
        <v>1.6020891959846699</v>
      </c>
      <c r="O270">
        <v>4</v>
      </c>
    </row>
    <row r="271" spans="1:15" x14ac:dyDescent="0.3">
      <c r="A271">
        <v>1270</v>
      </c>
      <c r="B271">
        <v>17</v>
      </c>
      <c r="C271">
        <v>1</v>
      </c>
      <c r="D271">
        <v>2</v>
      </c>
      <c r="E271">
        <v>0</v>
      </c>
      <c r="F271">
        <v>14.1589565340237</v>
      </c>
      <c r="G271">
        <v>21</v>
      </c>
      <c r="H271">
        <v>1</v>
      </c>
      <c r="I271">
        <v>2</v>
      </c>
      <c r="J271">
        <v>0</v>
      </c>
      <c r="K271">
        <v>1</v>
      </c>
      <c r="L271">
        <v>0</v>
      </c>
      <c r="M271">
        <v>0</v>
      </c>
      <c r="N271">
        <v>1.00279836358193</v>
      </c>
      <c r="O271">
        <v>4</v>
      </c>
    </row>
    <row r="272" spans="1:15" x14ac:dyDescent="0.3">
      <c r="A272">
        <v>1271</v>
      </c>
      <c r="B272">
        <v>16</v>
      </c>
      <c r="C272">
        <v>1</v>
      </c>
      <c r="D272">
        <v>0</v>
      </c>
      <c r="E272">
        <v>2</v>
      </c>
      <c r="F272">
        <v>11.1484948934028</v>
      </c>
      <c r="G272">
        <v>15</v>
      </c>
      <c r="H272">
        <v>0</v>
      </c>
      <c r="I272">
        <v>3</v>
      </c>
      <c r="J272">
        <v>0</v>
      </c>
      <c r="K272">
        <v>0</v>
      </c>
      <c r="L272">
        <v>0</v>
      </c>
      <c r="M272">
        <v>0</v>
      </c>
      <c r="N272">
        <v>1.66306345319906</v>
      </c>
      <c r="O272">
        <v>4</v>
      </c>
    </row>
    <row r="273" spans="1:15" x14ac:dyDescent="0.3">
      <c r="A273">
        <v>1272</v>
      </c>
      <c r="B273">
        <v>18</v>
      </c>
      <c r="C273">
        <v>0</v>
      </c>
      <c r="D273">
        <v>1</v>
      </c>
      <c r="E273">
        <v>2</v>
      </c>
      <c r="F273">
        <v>5.1204234612302599</v>
      </c>
      <c r="G273">
        <v>13</v>
      </c>
      <c r="H273">
        <v>0</v>
      </c>
      <c r="I273">
        <v>3</v>
      </c>
      <c r="J273">
        <v>0</v>
      </c>
      <c r="K273">
        <v>0</v>
      </c>
      <c r="L273">
        <v>0</v>
      </c>
      <c r="M273">
        <v>1</v>
      </c>
      <c r="N273">
        <v>1.53154645971956</v>
      </c>
      <c r="O273">
        <v>4</v>
      </c>
    </row>
    <row r="274" spans="1:15" x14ac:dyDescent="0.3">
      <c r="A274">
        <v>1273</v>
      </c>
      <c r="B274">
        <v>18</v>
      </c>
      <c r="C274">
        <v>1</v>
      </c>
      <c r="D274">
        <v>1</v>
      </c>
      <c r="E274">
        <v>2</v>
      </c>
      <c r="F274">
        <v>13.0165590097865</v>
      </c>
      <c r="G274">
        <v>11</v>
      </c>
      <c r="H274">
        <v>0</v>
      </c>
      <c r="I274">
        <v>4</v>
      </c>
      <c r="J274">
        <v>0</v>
      </c>
      <c r="K274">
        <v>0</v>
      </c>
      <c r="L274">
        <v>0</v>
      </c>
      <c r="M274">
        <v>0</v>
      </c>
      <c r="N274">
        <v>2.2058421470303302</v>
      </c>
      <c r="O274">
        <v>3</v>
      </c>
    </row>
    <row r="275" spans="1:15" x14ac:dyDescent="0.3">
      <c r="A275">
        <v>1274</v>
      </c>
      <c r="B275">
        <v>18</v>
      </c>
      <c r="C275">
        <v>0</v>
      </c>
      <c r="D275">
        <v>0</v>
      </c>
      <c r="E275">
        <v>1</v>
      </c>
      <c r="F275">
        <v>2.32547360585761</v>
      </c>
      <c r="G275">
        <v>16</v>
      </c>
      <c r="H275">
        <v>0</v>
      </c>
      <c r="I275">
        <v>3</v>
      </c>
      <c r="J275">
        <v>0</v>
      </c>
      <c r="K275">
        <v>0</v>
      </c>
      <c r="L275">
        <v>0</v>
      </c>
      <c r="M275">
        <v>1</v>
      </c>
      <c r="N275">
        <v>1.1553385609656599</v>
      </c>
      <c r="O275">
        <v>4</v>
      </c>
    </row>
    <row r="276" spans="1:15" x14ac:dyDescent="0.3">
      <c r="A276">
        <v>1275</v>
      </c>
      <c r="B276">
        <v>15</v>
      </c>
      <c r="C276">
        <v>1</v>
      </c>
      <c r="D276">
        <v>0</v>
      </c>
      <c r="E276">
        <v>2</v>
      </c>
      <c r="F276">
        <v>10.728207661600599</v>
      </c>
      <c r="G276">
        <v>13</v>
      </c>
      <c r="H276">
        <v>1</v>
      </c>
      <c r="I276">
        <v>1</v>
      </c>
      <c r="J276">
        <v>0</v>
      </c>
      <c r="K276">
        <v>0</v>
      </c>
      <c r="L276">
        <v>0</v>
      </c>
      <c r="M276">
        <v>0</v>
      </c>
      <c r="N276">
        <v>2.1537583398693898</v>
      </c>
      <c r="O276">
        <v>3</v>
      </c>
    </row>
    <row r="277" spans="1:15" x14ac:dyDescent="0.3">
      <c r="A277">
        <v>1276</v>
      </c>
      <c r="B277">
        <v>18</v>
      </c>
      <c r="C277">
        <v>1</v>
      </c>
      <c r="D277">
        <v>1</v>
      </c>
      <c r="E277">
        <v>1</v>
      </c>
      <c r="F277">
        <v>8.7429621009006908</v>
      </c>
      <c r="G277">
        <v>9</v>
      </c>
      <c r="H277">
        <v>0</v>
      </c>
      <c r="I277">
        <v>2</v>
      </c>
      <c r="J277">
        <v>1</v>
      </c>
      <c r="K277">
        <v>0</v>
      </c>
      <c r="L277">
        <v>0</v>
      </c>
      <c r="M277">
        <v>1</v>
      </c>
      <c r="N277">
        <v>2.5927866863170301</v>
      </c>
      <c r="O277">
        <v>2</v>
      </c>
    </row>
    <row r="278" spans="1:15" x14ac:dyDescent="0.3">
      <c r="A278">
        <v>1277</v>
      </c>
      <c r="B278">
        <v>15</v>
      </c>
      <c r="C278">
        <v>0</v>
      </c>
      <c r="D278">
        <v>2</v>
      </c>
      <c r="E278">
        <v>3</v>
      </c>
      <c r="F278">
        <v>5.3574716563488103</v>
      </c>
      <c r="G278">
        <v>23</v>
      </c>
      <c r="H278">
        <v>0</v>
      </c>
      <c r="I278">
        <v>0</v>
      </c>
      <c r="J278">
        <v>1</v>
      </c>
      <c r="K278">
        <v>1</v>
      </c>
      <c r="L278">
        <v>0</v>
      </c>
      <c r="M278">
        <v>0</v>
      </c>
      <c r="N278">
        <v>0.91233050709555397</v>
      </c>
      <c r="O278">
        <v>4</v>
      </c>
    </row>
    <row r="279" spans="1:15" x14ac:dyDescent="0.3">
      <c r="A279">
        <v>1278</v>
      </c>
      <c r="B279">
        <v>16</v>
      </c>
      <c r="C279">
        <v>0</v>
      </c>
      <c r="D279">
        <v>0</v>
      </c>
      <c r="E279">
        <v>3</v>
      </c>
      <c r="F279">
        <v>12.080099954790001</v>
      </c>
      <c r="G279">
        <v>28</v>
      </c>
      <c r="H279">
        <v>1</v>
      </c>
      <c r="I279">
        <v>3</v>
      </c>
      <c r="J279">
        <v>0</v>
      </c>
      <c r="K279">
        <v>0</v>
      </c>
      <c r="L279">
        <v>0</v>
      </c>
      <c r="M279">
        <v>0</v>
      </c>
      <c r="N279">
        <v>0.69563093345994598</v>
      </c>
      <c r="O279">
        <v>4</v>
      </c>
    </row>
    <row r="280" spans="1:15" x14ac:dyDescent="0.3">
      <c r="A280">
        <v>1279</v>
      </c>
      <c r="B280">
        <v>15</v>
      </c>
      <c r="C280">
        <v>0</v>
      </c>
      <c r="D280">
        <v>1</v>
      </c>
      <c r="E280">
        <v>2</v>
      </c>
      <c r="F280">
        <v>17.426671846805601</v>
      </c>
      <c r="G280">
        <v>13</v>
      </c>
      <c r="H280">
        <v>1</v>
      </c>
      <c r="I280">
        <v>2</v>
      </c>
      <c r="J280">
        <v>0</v>
      </c>
      <c r="K280">
        <v>0</v>
      </c>
      <c r="L280">
        <v>0</v>
      </c>
      <c r="M280">
        <v>0</v>
      </c>
      <c r="N280">
        <v>2.1396198913689801</v>
      </c>
      <c r="O280">
        <v>3</v>
      </c>
    </row>
    <row r="281" spans="1:15" x14ac:dyDescent="0.3">
      <c r="A281">
        <v>1280</v>
      </c>
      <c r="B281">
        <v>16</v>
      </c>
      <c r="C281">
        <v>1</v>
      </c>
      <c r="D281">
        <v>0</v>
      </c>
      <c r="E281">
        <v>1</v>
      </c>
      <c r="F281">
        <v>19.978093995261499</v>
      </c>
      <c r="G281">
        <v>17</v>
      </c>
      <c r="H281">
        <v>0</v>
      </c>
      <c r="I281">
        <v>3</v>
      </c>
      <c r="J281">
        <v>0</v>
      </c>
      <c r="K281">
        <v>0</v>
      </c>
      <c r="L281">
        <v>0</v>
      </c>
      <c r="M281">
        <v>0</v>
      </c>
      <c r="N281">
        <v>1.5504493308923299</v>
      </c>
      <c r="O281">
        <v>4</v>
      </c>
    </row>
    <row r="282" spans="1:15" x14ac:dyDescent="0.3">
      <c r="A282">
        <v>1281</v>
      </c>
      <c r="B282">
        <v>18</v>
      </c>
      <c r="C282">
        <v>1</v>
      </c>
      <c r="D282">
        <v>2</v>
      </c>
      <c r="E282">
        <v>2</v>
      </c>
      <c r="F282">
        <v>12.1552553748684</v>
      </c>
      <c r="G282">
        <v>21</v>
      </c>
      <c r="H282">
        <v>0</v>
      </c>
      <c r="I282">
        <v>4</v>
      </c>
      <c r="J282">
        <v>0</v>
      </c>
      <c r="K282">
        <v>0</v>
      </c>
      <c r="L282">
        <v>0</v>
      </c>
      <c r="M282">
        <v>1</v>
      </c>
      <c r="N282">
        <v>1.5475367003506</v>
      </c>
      <c r="O282">
        <v>4</v>
      </c>
    </row>
    <row r="283" spans="1:15" x14ac:dyDescent="0.3">
      <c r="A283">
        <v>1282</v>
      </c>
      <c r="B283">
        <v>18</v>
      </c>
      <c r="C283">
        <v>0</v>
      </c>
      <c r="D283">
        <v>0</v>
      </c>
      <c r="E283">
        <v>0</v>
      </c>
      <c r="F283">
        <v>8.0941174865834</v>
      </c>
      <c r="G283">
        <v>8</v>
      </c>
      <c r="H283">
        <v>1</v>
      </c>
      <c r="I283">
        <v>3</v>
      </c>
      <c r="J283">
        <v>0</v>
      </c>
      <c r="K283">
        <v>0</v>
      </c>
      <c r="L283">
        <v>1</v>
      </c>
      <c r="M283">
        <v>0</v>
      </c>
      <c r="N283">
        <v>2.9665480342949402</v>
      </c>
      <c r="O283">
        <v>2</v>
      </c>
    </row>
    <row r="284" spans="1:15" x14ac:dyDescent="0.3">
      <c r="A284">
        <v>1283</v>
      </c>
      <c r="B284">
        <v>16</v>
      </c>
      <c r="C284">
        <v>0</v>
      </c>
      <c r="D284">
        <v>2</v>
      </c>
      <c r="E284">
        <v>2</v>
      </c>
      <c r="F284">
        <v>4.5041420043240299</v>
      </c>
      <c r="G284">
        <v>16</v>
      </c>
      <c r="H284">
        <v>0</v>
      </c>
      <c r="I284">
        <v>2</v>
      </c>
      <c r="J284">
        <v>1</v>
      </c>
      <c r="K284">
        <v>0</v>
      </c>
      <c r="L284">
        <v>0</v>
      </c>
      <c r="M284">
        <v>1</v>
      </c>
      <c r="N284">
        <v>1.63367937100322</v>
      </c>
      <c r="O284">
        <v>4</v>
      </c>
    </row>
    <row r="285" spans="1:15" x14ac:dyDescent="0.3">
      <c r="A285">
        <v>1284</v>
      </c>
      <c r="B285">
        <v>17</v>
      </c>
      <c r="C285">
        <v>0</v>
      </c>
      <c r="D285">
        <v>0</v>
      </c>
      <c r="E285">
        <v>1</v>
      </c>
      <c r="F285">
        <v>5.1419217879022296</v>
      </c>
      <c r="G285">
        <v>5</v>
      </c>
      <c r="H285">
        <v>1</v>
      </c>
      <c r="I285">
        <v>1</v>
      </c>
      <c r="J285">
        <v>0</v>
      </c>
      <c r="K285">
        <v>0</v>
      </c>
      <c r="L285">
        <v>0</v>
      </c>
      <c r="M285">
        <v>0</v>
      </c>
      <c r="N285">
        <v>2.3325403195354002</v>
      </c>
      <c r="O285">
        <v>3</v>
      </c>
    </row>
    <row r="286" spans="1:15" x14ac:dyDescent="0.3">
      <c r="A286">
        <v>1285</v>
      </c>
      <c r="B286">
        <v>16</v>
      </c>
      <c r="C286">
        <v>0</v>
      </c>
      <c r="D286">
        <v>0</v>
      </c>
      <c r="E286">
        <v>3</v>
      </c>
      <c r="F286">
        <v>9.58909956299531</v>
      </c>
      <c r="G286">
        <v>7</v>
      </c>
      <c r="H286">
        <v>1</v>
      </c>
      <c r="I286">
        <v>3</v>
      </c>
      <c r="J286">
        <v>1</v>
      </c>
      <c r="K286">
        <v>1</v>
      </c>
      <c r="L286">
        <v>1</v>
      </c>
      <c r="M286">
        <v>0</v>
      </c>
      <c r="N286">
        <v>3.2702623094047301</v>
      </c>
      <c r="O286">
        <v>1</v>
      </c>
    </row>
    <row r="287" spans="1:15" x14ac:dyDescent="0.3">
      <c r="A287">
        <v>1286</v>
      </c>
      <c r="B287">
        <v>17</v>
      </c>
      <c r="C287">
        <v>1</v>
      </c>
      <c r="D287">
        <v>0</v>
      </c>
      <c r="E287">
        <v>0</v>
      </c>
      <c r="F287">
        <v>7.34555402561418</v>
      </c>
      <c r="G287">
        <v>25</v>
      </c>
      <c r="H287">
        <v>0</v>
      </c>
      <c r="I287">
        <v>1</v>
      </c>
      <c r="J287">
        <v>0</v>
      </c>
      <c r="K287">
        <v>0</v>
      </c>
      <c r="L287">
        <v>0</v>
      </c>
      <c r="M287">
        <v>0</v>
      </c>
      <c r="N287">
        <v>0.34647059259027602</v>
      </c>
      <c r="O287">
        <v>4</v>
      </c>
    </row>
    <row r="288" spans="1:15" x14ac:dyDescent="0.3">
      <c r="A288">
        <v>1287</v>
      </c>
      <c r="B288">
        <v>15</v>
      </c>
      <c r="C288">
        <v>0</v>
      </c>
      <c r="D288">
        <v>0</v>
      </c>
      <c r="E288">
        <v>2</v>
      </c>
      <c r="F288">
        <v>18.276290452498799</v>
      </c>
      <c r="G288">
        <v>12</v>
      </c>
      <c r="H288">
        <v>1</v>
      </c>
      <c r="I288">
        <v>1</v>
      </c>
      <c r="J288">
        <v>0</v>
      </c>
      <c r="K288">
        <v>0</v>
      </c>
      <c r="L288">
        <v>0</v>
      </c>
      <c r="M288">
        <v>0</v>
      </c>
      <c r="N288">
        <v>1.8949043363400999</v>
      </c>
      <c r="O288">
        <v>4</v>
      </c>
    </row>
    <row r="289" spans="1:15" x14ac:dyDescent="0.3">
      <c r="A289">
        <v>1288</v>
      </c>
      <c r="B289">
        <v>15</v>
      </c>
      <c r="C289">
        <v>0</v>
      </c>
      <c r="D289">
        <v>1</v>
      </c>
      <c r="E289">
        <v>2</v>
      </c>
      <c r="F289">
        <v>7.3659093531141897</v>
      </c>
      <c r="G289">
        <v>17</v>
      </c>
      <c r="H289">
        <v>0</v>
      </c>
      <c r="I289">
        <v>1</v>
      </c>
      <c r="J289">
        <v>0</v>
      </c>
      <c r="K289">
        <v>0</v>
      </c>
      <c r="L289">
        <v>0</v>
      </c>
      <c r="M289">
        <v>0</v>
      </c>
      <c r="N289">
        <v>1.4567426010872599</v>
      </c>
      <c r="O289">
        <v>4</v>
      </c>
    </row>
    <row r="290" spans="1:15" x14ac:dyDescent="0.3">
      <c r="A290">
        <v>1289</v>
      </c>
      <c r="B290">
        <v>15</v>
      </c>
      <c r="C290">
        <v>0</v>
      </c>
      <c r="D290">
        <v>0</v>
      </c>
      <c r="E290">
        <v>2</v>
      </c>
      <c r="F290">
        <v>7.4688918229086996</v>
      </c>
      <c r="G290">
        <v>4</v>
      </c>
      <c r="H290">
        <v>0</v>
      </c>
      <c r="I290">
        <v>2</v>
      </c>
      <c r="J290">
        <v>1</v>
      </c>
      <c r="K290">
        <v>0</v>
      </c>
      <c r="L290">
        <v>0</v>
      </c>
      <c r="M290">
        <v>0</v>
      </c>
      <c r="N290">
        <v>2.5537231512721799</v>
      </c>
      <c r="O290">
        <v>2</v>
      </c>
    </row>
    <row r="291" spans="1:15" x14ac:dyDescent="0.3">
      <c r="A291">
        <v>1290</v>
      </c>
      <c r="B291">
        <v>18</v>
      </c>
      <c r="C291">
        <v>0</v>
      </c>
      <c r="D291">
        <v>2</v>
      </c>
      <c r="E291">
        <v>0</v>
      </c>
      <c r="F291">
        <v>7.6706902486795396</v>
      </c>
      <c r="G291">
        <v>5</v>
      </c>
      <c r="H291">
        <v>0</v>
      </c>
      <c r="I291">
        <v>1</v>
      </c>
      <c r="J291">
        <v>0</v>
      </c>
      <c r="K291">
        <v>0</v>
      </c>
      <c r="L291">
        <v>0</v>
      </c>
      <c r="M291">
        <v>0</v>
      </c>
      <c r="N291">
        <v>2.2241974612119999</v>
      </c>
      <c r="O291">
        <v>3</v>
      </c>
    </row>
    <row r="292" spans="1:15" x14ac:dyDescent="0.3">
      <c r="A292">
        <v>1291</v>
      </c>
      <c r="B292">
        <v>15</v>
      </c>
      <c r="C292">
        <v>1</v>
      </c>
      <c r="D292">
        <v>0</v>
      </c>
      <c r="E292">
        <v>4</v>
      </c>
      <c r="F292">
        <v>16.732404207353099</v>
      </c>
      <c r="G292">
        <v>20</v>
      </c>
      <c r="H292">
        <v>1</v>
      </c>
      <c r="I292">
        <v>4</v>
      </c>
      <c r="J292">
        <v>0</v>
      </c>
      <c r="K292">
        <v>1</v>
      </c>
      <c r="L292">
        <v>1</v>
      </c>
      <c r="M292">
        <v>0</v>
      </c>
      <c r="N292">
        <v>1.84760041810842</v>
      </c>
      <c r="O292">
        <v>4</v>
      </c>
    </row>
    <row r="293" spans="1:15" x14ac:dyDescent="0.3">
      <c r="A293">
        <v>1292</v>
      </c>
      <c r="B293">
        <v>17</v>
      </c>
      <c r="C293">
        <v>0</v>
      </c>
      <c r="D293">
        <v>0</v>
      </c>
      <c r="E293">
        <v>2</v>
      </c>
      <c r="F293">
        <v>13.015766416938</v>
      </c>
      <c r="G293">
        <v>18</v>
      </c>
      <c r="H293">
        <v>0</v>
      </c>
      <c r="I293">
        <v>4</v>
      </c>
      <c r="J293">
        <v>1</v>
      </c>
      <c r="K293">
        <v>0</v>
      </c>
      <c r="L293">
        <v>0</v>
      </c>
      <c r="M293">
        <v>0</v>
      </c>
      <c r="N293">
        <v>1.8497607071334801</v>
      </c>
      <c r="O293">
        <v>4</v>
      </c>
    </row>
    <row r="294" spans="1:15" x14ac:dyDescent="0.3">
      <c r="A294">
        <v>1293</v>
      </c>
      <c r="B294">
        <v>15</v>
      </c>
      <c r="C294">
        <v>1</v>
      </c>
      <c r="D294">
        <v>0</v>
      </c>
      <c r="E294">
        <v>2</v>
      </c>
      <c r="F294">
        <v>12.283377006377799</v>
      </c>
      <c r="G294">
        <v>3</v>
      </c>
      <c r="H294">
        <v>0</v>
      </c>
      <c r="I294">
        <v>4</v>
      </c>
      <c r="J294">
        <v>0</v>
      </c>
      <c r="K294">
        <v>0</v>
      </c>
      <c r="L294">
        <v>1</v>
      </c>
      <c r="M294">
        <v>0</v>
      </c>
      <c r="N294">
        <v>3.2687942155602099</v>
      </c>
      <c r="O294">
        <v>1</v>
      </c>
    </row>
    <row r="295" spans="1:15" x14ac:dyDescent="0.3">
      <c r="A295">
        <v>1294</v>
      </c>
      <c r="B295">
        <v>16</v>
      </c>
      <c r="C295">
        <v>0</v>
      </c>
      <c r="D295">
        <v>0</v>
      </c>
      <c r="E295">
        <v>1</v>
      </c>
      <c r="F295">
        <v>6.68286044767724</v>
      </c>
      <c r="G295">
        <v>6</v>
      </c>
      <c r="H295">
        <v>1</v>
      </c>
      <c r="I295">
        <v>0</v>
      </c>
      <c r="J295">
        <v>0</v>
      </c>
      <c r="K295">
        <v>0</v>
      </c>
      <c r="L295">
        <v>0</v>
      </c>
      <c r="M295">
        <v>1</v>
      </c>
      <c r="N295">
        <v>2.54651663724602</v>
      </c>
      <c r="O295">
        <v>2</v>
      </c>
    </row>
    <row r="296" spans="1:15" x14ac:dyDescent="0.3">
      <c r="A296">
        <v>1295</v>
      </c>
      <c r="B296">
        <v>16</v>
      </c>
      <c r="C296">
        <v>0</v>
      </c>
      <c r="D296">
        <v>0</v>
      </c>
      <c r="E296">
        <v>2</v>
      </c>
      <c r="F296">
        <v>16.358083536648699</v>
      </c>
      <c r="G296">
        <v>3</v>
      </c>
      <c r="H296">
        <v>0</v>
      </c>
      <c r="I296">
        <v>4</v>
      </c>
      <c r="J296">
        <v>0</v>
      </c>
      <c r="K296">
        <v>0</v>
      </c>
      <c r="L296">
        <v>0</v>
      </c>
      <c r="M296">
        <v>0</v>
      </c>
      <c r="N296">
        <v>3.1012292205041199</v>
      </c>
      <c r="O296">
        <v>1</v>
      </c>
    </row>
    <row r="297" spans="1:15" x14ac:dyDescent="0.3">
      <c r="A297">
        <v>1296</v>
      </c>
      <c r="B297">
        <v>18</v>
      </c>
      <c r="C297">
        <v>1</v>
      </c>
      <c r="D297">
        <v>0</v>
      </c>
      <c r="E297">
        <v>2</v>
      </c>
      <c r="F297">
        <v>0.76727722711402202</v>
      </c>
      <c r="G297">
        <v>24</v>
      </c>
      <c r="H297">
        <v>0</v>
      </c>
      <c r="I297">
        <v>4</v>
      </c>
      <c r="J297">
        <v>0</v>
      </c>
      <c r="K297">
        <v>0</v>
      </c>
      <c r="L297">
        <v>1</v>
      </c>
      <c r="M297">
        <v>0</v>
      </c>
      <c r="N297">
        <v>0.65595407796267702</v>
      </c>
      <c r="O297">
        <v>4</v>
      </c>
    </row>
    <row r="298" spans="1:15" x14ac:dyDescent="0.3">
      <c r="A298">
        <v>1297</v>
      </c>
      <c r="B298">
        <v>16</v>
      </c>
      <c r="C298">
        <v>0</v>
      </c>
      <c r="D298">
        <v>0</v>
      </c>
      <c r="E298">
        <v>0</v>
      </c>
      <c r="F298">
        <v>17.415943446762199</v>
      </c>
      <c r="G298">
        <v>10</v>
      </c>
      <c r="H298">
        <v>1</v>
      </c>
      <c r="I298">
        <v>4</v>
      </c>
      <c r="J298">
        <v>0</v>
      </c>
      <c r="K298">
        <v>1</v>
      </c>
      <c r="L298">
        <v>0</v>
      </c>
      <c r="M298">
        <v>0</v>
      </c>
      <c r="N298">
        <v>3.0885123056166699</v>
      </c>
      <c r="O298">
        <v>1</v>
      </c>
    </row>
    <row r="299" spans="1:15" x14ac:dyDescent="0.3">
      <c r="A299">
        <v>1298</v>
      </c>
      <c r="B299">
        <v>17</v>
      </c>
      <c r="C299">
        <v>1</v>
      </c>
      <c r="D299">
        <v>0</v>
      </c>
      <c r="E299">
        <v>1</v>
      </c>
      <c r="F299">
        <v>10.254997995878499</v>
      </c>
      <c r="G299">
        <v>11</v>
      </c>
      <c r="H299">
        <v>1</v>
      </c>
      <c r="I299">
        <v>3</v>
      </c>
      <c r="J299">
        <v>0</v>
      </c>
      <c r="K299">
        <v>0</v>
      </c>
      <c r="L299">
        <v>0</v>
      </c>
      <c r="M299">
        <v>0</v>
      </c>
      <c r="N299">
        <v>1.99255980548199</v>
      </c>
      <c r="O299">
        <v>4</v>
      </c>
    </row>
    <row r="300" spans="1:15" x14ac:dyDescent="0.3">
      <c r="A300">
        <v>1299</v>
      </c>
      <c r="B300">
        <v>15</v>
      </c>
      <c r="C300">
        <v>1</v>
      </c>
      <c r="D300">
        <v>1</v>
      </c>
      <c r="E300">
        <v>3</v>
      </c>
      <c r="F300">
        <v>7.9650046972682498</v>
      </c>
      <c r="G300">
        <v>13</v>
      </c>
      <c r="H300">
        <v>1</v>
      </c>
      <c r="I300">
        <v>3</v>
      </c>
      <c r="J300">
        <v>0</v>
      </c>
      <c r="K300">
        <v>1</v>
      </c>
      <c r="L300">
        <v>0</v>
      </c>
      <c r="M300">
        <v>0</v>
      </c>
      <c r="N300">
        <v>2.60524744554785</v>
      </c>
      <c r="O300">
        <v>2</v>
      </c>
    </row>
    <row r="301" spans="1:15" x14ac:dyDescent="0.3">
      <c r="A301">
        <v>1300</v>
      </c>
      <c r="B301">
        <v>18</v>
      </c>
      <c r="C301">
        <v>0</v>
      </c>
      <c r="D301">
        <v>1</v>
      </c>
      <c r="E301">
        <v>1</v>
      </c>
      <c r="F301">
        <v>9.94334561435371</v>
      </c>
      <c r="G301">
        <v>12</v>
      </c>
      <c r="H301">
        <v>1</v>
      </c>
      <c r="I301">
        <v>1</v>
      </c>
      <c r="J301">
        <v>0</v>
      </c>
      <c r="K301">
        <v>0</v>
      </c>
      <c r="L301">
        <v>0</v>
      </c>
      <c r="M301">
        <v>0</v>
      </c>
      <c r="N301">
        <v>1.73397245423346</v>
      </c>
      <c r="O301">
        <v>4</v>
      </c>
    </row>
    <row r="302" spans="1:15" x14ac:dyDescent="0.3">
      <c r="A302">
        <v>1301</v>
      </c>
      <c r="B302">
        <v>15</v>
      </c>
      <c r="C302">
        <v>1</v>
      </c>
      <c r="D302">
        <v>0</v>
      </c>
      <c r="E302">
        <v>1</v>
      </c>
      <c r="F302">
        <v>13.348310610676601</v>
      </c>
      <c r="G302">
        <v>28</v>
      </c>
      <c r="H302">
        <v>0</v>
      </c>
      <c r="I302">
        <v>3</v>
      </c>
      <c r="J302">
        <v>1</v>
      </c>
      <c r="K302">
        <v>0</v>
      </c>
      <c r="L302">
        <v>0</v>
      </c>
      <c r="M302">
        <v>0</v>
      </c>
      <c r="N302">
        <v>1.1138487878591199</v>
      </c>
      <c r="O302">
        <v>4</v>
      </c>
    </row>
    <row r="303" spans="1:15" x14ac:dyDescent="0.3">
      <c r="A303">
        <v>1302</v>
      </c>
      <c r="B303">
        <v>15</v>
      </c>
      <c r="C303">
        <v>1</v>
      </c>
      <c r="D303">
        <v>0</v>
      </c>
      <c r="E303">
        <v>2</v>
      </c>
      <c r="F303">
        <v>0.25530853035794698</v>
      </c>
      <c r="G303">
        <v>9</v>
      </c>
      <c r="H303">
        <v>0</v>
      </c>
      <c r="I303">
        <v>0</v>
      </c>
      <c r="J303">
        <v>1</v>
      </c>
      <c r="K303">
        <v>0</v>
      </c>
      <c r="L303">
        <v>0</v>
      </c>
      <c r="M303">
        <v>0</v>
      </c>
      <c r="N303">
        <v>1.6492502516617999</v>
      </c>
      <c r="O303">
        <v>4</v>
      </c>
    </row>
    <row r="304" spans="1:15" x14ac:dyDescent="0.3">
      <c r="A304">
        <v>1303</v>
      </c>
      <c r="B304">
        <v>17</v>
      </c>
      <c r="C304">
        <v>1</v>
      </c>
      <c r="D304">
        <v>3</v>
      </c>
      <c r="E304">
        <v>2</v>
      </c>
      <c r="F304">
        <v>17.431037129164899</v>
      </c>
      <c r="G304">
        <v>17</v>
      </c>
      <c r="H304">
        <v>0</v>
      </c>
      <c r="I304">
        <v>2</v>
      </c>
      <c r="J304">
        <v>0</v>
      </c>
      <c r="K304">
        <v>0</v>
      </c>
      <c r="L304">
        <v>0</v>
      </c>
      <c r="M304">
        <v>0</v>
      </c>
      <c r="N304">
        <v>1.3375549802098701</v>
      </c>
      <c r="O304">
        <v>4</v>
      </c>
    </row>
    <row r="305" spans="1:15" x14ac:dyDescent="0.3">
      <c r="A305">
        <v>1304</v>
      </c>
      <c r="B305">
        <v>16</v>
      </c>
      <c r="C305">
        <v>1</v>
      </c>
      <c r="D305">
        <v>1</v>
      </c>
      <c r="E305">
        <v>0</v>
      </c>
      <c r="F305">
        <v>8.9347905062278503</v>
      </c>
      <c r="G305">
        <v>15</v>
      </c>
      <c r="H305">
        <v>0</v>
      </c>
      <c r="I305">
        <v>4</v>
      </c>
      <c r="J305">
        <v>0</v>
      </c>
      <c r="K305">
        <v>0</v>
      </c>
      <c r="L305">
        <v>0</v>
      </c>
      <c r="M305">
        <v>0</v>
      </c>
      <c r="N305">
        <v>1.9846599185571701</v>
      </c>
      <c r="O305">
        <v>4</v>
      </c>
    </row>
    <row r="306" spans="1:15" x14ac:dyDescent="0.3">
      <c r="A306">
        <v>1305</v>
      </c>
      <c r="B306">
        <v>16</v>
      </c>
      <c r="C306">
        <v>1</v>
      </c>
      <c r="D306">
        <v>1</v>
      </c>
      <c r="E306">
        <v>2</v>
      </c>
      <c r="F306">
        <v>6.8593303940015602</v>
      </c>
      <c r="G306">
        <v>4</v>
      </c>
      <c r="H306">
        <v>0</v>
      </c>
      <c r="I306">
        <v>2</v>
      </c>
      <c r="J306">
        <v>0</v>
      </c>
      <c r="K306">
        <v>1</v>
      </c>
      <c r="L306">
        <v>1</v>
      </c>
      <c r="M306">
        <v>0</v>
      </c>
      <c r="N306">
        <v>3.0608816559669401</v>
      </c>
      <c r="O306">
        <v>1</v>
      </c>
    </row>
    <row r="307" spans="1:15" x14ac:dyDescent="0.3">
      <c r="A307">
        <v>1306</v>
      </c>
      <c r="B307">
        <v>15</v>
      </c>
      <c r="C307">
        <v>1</v>
      </c>
      <c r="D307">
        <v>0</v>
      </c>
      <c r="E307">
        <v>1</v>
      </c>
      <c r="F307">
        <v>2.7649113126811402</v>
      </c>
      <c r="G307">
        <v>7</v>
      </c>
      <c r="H307">
        <v>1</v>
      </c>
      <c r="I307">
        <v>1</v>
      </c>
      <c r="J307">
        <v>0</v>
      </c>
      <c r="K307">
        <v>0</v>
      </c>
      <c r="L307">
        <v>0</v>
      </c>
      <c r="M307">
        <v>0</v>
      </c>
      <c r="N307">
        <v>2.392897358425</v>
      </c>
      <c r="O307">
        <v>3</v>
      </c>
    </row>
    <row r="308" spans="1:15" x14ac:dyDescent="0.3">
      <c r="A308">
        <v>1307</v>
      </c>
      <c r="B308">
        <v>18</v>
      </c>
      <c r="C308">
        <v>1</v>
      </c>
      <c r="D308">
        <v>2</v>
      </c>
      <c r="E308">
        <v>0</v>
      </c>
      <c r="F308">
        <v>8.7893074871688395</v>
      </c>
      <c r="G308">
        <v>13</v>
      </c>
      <c r="H308">
        <v>0</v>
      </c>
      <c r="I308">
        <v>4</v>
      </c>
      <c r="J308">
        <v>0</v>
      </c>
      <c r="K308">
        <v>0</v>
      </c>
      <c r="L308">
        <v>0</v>
      </c>
      <c r="M308">
        <v>0</v>
      </c>
      <c r="N308">
        <v>2.0837969900967899</v>
      </c>
      <c r="O308">
        <v>3</v>
      </c>
    </row>
    <row r="309" spans="1:15" x14ac:dyDescent="0.3">
      <c r="A309">
        <v>1308</v>
      </c>
      <c r="B309">
        <v>16</v>
      </c>
      <c r="C309">
        <v>1</v>
      </c>
      <c r="D309">
        <v>2</v>
      </c>
      <c r="E309">
        <v>0</v>
      </c>
      <c r="F309">
        <v>9.9264554256875694</v>
      </c>
      <c r="G309">
        <v>4</v>
      </c>
      <c r="H309">
        <v>0</v>
      </c>
      <c r="I309">
        <v>4</v>
      </c>
      <c r="J309">
        <v>0</v>
      </c>
      <c r="K309">
        <v>1</v>
      </c>
      <c r="L309">
        <v>0</v>
      </c>
      <c r="M309">
        <v>1</v>
      </c>
      <c r="N309">
        <v>3.6457380487704398</v>
      </c>
      <c r="O309">
        <v>0</v>
      </c>
    </row>
    <row r="310" spans="1:15" x14ac:dyDescent="0.3">
      <c r="A310">
        <v>1309</v>
      </c>
      <c r="B310">
        <v>18</v>
      </c>
      <c r="C310">
        <v>0</v>
      </c>
      <c r="D310">
        <v>1</v>
      </c>
      <c r="E310">
        <v>3</v>
      </c>
      <c r="F310">
        <v>8.0729338898695495</v>
      </c>
      <c r="G310">
        <v>25</v>
      </c>
      <c r="H310">
        <v>0</v>
      </c>
      <c r="I310">
        <v>1</v>
      </c>
      <c r="J310">
        <v>1</v>
      </c>
      <c r="K310">
        <v>0</v>
      </c>
      <c r="L310">
        <v>0</v>
      </c>
      <c r="M310">
        <v>0</v>
      </c>
      <c r="N310">
        <v>0.32228608162540701</v>
      </c>
      <c r="O310">
        <v>4</v>
      </c>
    </row>
    <row r="311" spans="1:15" x14ac:dyDescent="0.3">
      <c r="A311">
        <v>1310</v>
      </c>
      <c r="B311">
        <v>16</v>
      </c>
      <c r="C311">
        <v>0</v>
      </c>
      <c r="D311">
        <v>3</v>
      </c>
      <c r="E311">
        <v>1</v>
      </c>
      <c r="F311">
        <v>13.573201876537899</v>
      </c>
      <c r="G311">
        <v>27</v>
      </c>
      <c r="H311">
        <v>0</v>
      </c>
      <c r="I311">
        <v>3</v>
      </c>
      <c r="J311">
        <v>0</v>
      </c>
      <c r="K311">
        <v>1</v>
      </c>
      <c r="L311">
        <v>0</v>
      </c>
      <c r="M311">
        <v>0</v>
      </c>
      <c r="N311">
        <v>1.1295143343615399</v>
      </c>
      <c r="O311">
        <v>4</v>
      </c>
    </row>
    <row r="312" spans="1:15" x14ac:dyDescent="0.3">
      <c r="A312">
        <v>1311</v>
      </c>
      <c r="B312">
        <v>18</v>
      </c>
      <c r="C312">
        <v>1</v>
      </c>
      <c r="D312">
        <v>0</v>
      </c>
      <c r="E312">
        <v>0</v>
      </c>
      <c r="F312">
        <v>8.4179305751845206</v>
      </c>
      <c r="G312">
        <v>23</v>
      </c>
      <c r="H312">
        <v>0</v>
      </c>
      <c r="I312">
        <v>2</v>
      </c>
      <c r="J312">
        <v>1</v>
      </c>
      <c r="K312">
        <v>0</v>
      </c>
      <c r="L312">
        <v>0</v>
      </c>
      <c r="M312">
        <v>0</v>
      </c>
      <c r="N312">
        <v>0.63075694386661096</v>
      </c>
      <c r="O312">
        <v>4</v>
      </c>
    </row>
    <row r="313" spans="1:15" x14ac:dyDescent="0.3">
      <c r="A313">
        <v>1312</v>
      </c>
      <c r="B313">
        <v>17</v>
      </c>
      <c r="C313">
        <v>0</v>
      </c>
      <c r="D313">
        <v>0</v>
      </c>
      <c r="E313">
        <v>2</v>
      </c>
      <c r="F313">
        <v>19.228351556931401</v>
      </c>
      <c r="G313">
        <v>7</v>
      </c>
      <c r="H313">
        <v>0</v>
      </c>
      <c r="I313">
        <v>2</v>
      </c>
      <c r="J313">
        <v>0</v>
      </c>
      <c r="K313">
        <v>0</v>
      </c>
      <c r="L313">
        <v>1</v>
      </c>
      <c r="M313">
        <v>1</v>
      </c>
      <c r="N313">
        <v>3.1572296388040901</v>
      </c>
      <c r="O313">
        <v>1</v>
      </c>
    </row>
    <row r="314" spans="1:15" x14ac:dyDescent="0.3">
      <c r="A314">
        <v>1313</v>
      </c>
      <c r="B314">
        <v>18</v>
      </c>
      <c r="C314">
        <v>1</v>
      </c>
      <c r="D314">
        <v>2</v>
      </c>
      <c r="E314">
        <v>3</v>
      </c>
      <c r="F314">
        <v>11.9855503564718</v>
      </c>
      <c r="G314">
        <v>24</v>
      </c>
      <c r="H314">
        <v>0</v>
      </c>
      <c r="I314">
        <v>1</v>
      </c>
      <c r="J314">
        <v>0</v>
      </c>
      <c r="K314">
        <v>0</v>
      </c>
      <c r="L314">
        <v>0</v>
      </c>
      <c r="M314">
        <v>0</v>
      </c>
      <c r="N314">
        <v>0.680087787496653</v>
      </c>
      <c r="O314">
        <v>4</v>
      </c>
    </row>
    <row r="315" spans="1:15" x14ac:dyDescent="0.3">
      <c r="A315">
        <v>1314</v>
      </c>
      <c r="B315">
        <v>17</v>
      </c>
      <c r="C315">
        <v>1</v>
      </c>
      <c r="D315">
        <v>2</v>
      </c>
      <c r="E315">
        <v>1</v>
      </c>
      <c r="F315">
        <v>16.1495587130381</v>
      </c>
      <c r="G315">
        <v>25</v>
      </c>
      <c r="H315">
        <v>0</v>
      </c>
      <c r="I315">
        <v>0</v>
      </c>
      <c r="J315">
        <v>0</v>
      </c>
      <c r="K315">
        <v>0</v>
      </c>
      <c r="L315">
        <v>0</v>
      </c>
      <c r="M315">
        <v>0</v>
      </c>
      <c r="N315">
        <v>0.79635984788664704</v>
      </c>
      <c r="O315">
        <v>4</v>
      </c>
    </row>
    <row r="316" spans="1:15" x14ac:dyDescent="0.3">
      <c r="A316">
        <v>1315</v>
      </c>
      <c r="B316">
        <v>17</v>
      </c>
      <c r="C316">
        <v>0</v>
      </c>
      <c r="D316">
        <v>0</v>
      </c>
      <c r="E316">
        <v>2</v>
      </c>
      <c r="F316">
        <v>2.1871180621895698</v>
      </c>
      <c r="G316">
        <v>5</v>
      </c>
      <c r="H316">
        <v>1</v>
      </c>
      <c r="I316">
        <v>1</v>
      </c>
      <c r="J316">
        <v>0</v>
      </c>
      <c r="K316">
        <v>1</v>
      </c>
      <c r="L316">
        <v>0</v>
      </c>
      <c r="M316">
        <v>0</v>
      </c>
      <c r="N316">
        <v>2.8440392149255902</v>
      </c>
      <c r="O316">
        <v>2</v>
      </c>
    </row>
    <row r="317" spans="1:15" x14ac:dyDescent="0.3">
      <c r="A317">
        <v>1316</v>
      </c>
      <c r="B317">
        <v>18</v>
      </c>
      <c r="C317">
        <v>1</v>
      </c>
      <c r="D317">
        <v>0</v>
      </c>
      <c r="E317">
        <v>0</v>
      </c>
      <c r="F317">
        <v>7.9458258589181101</v>
      </c>
      <c r="G317">
        <v>15</v>
      </c>
      <c r="H317">
        <v>1</v>
      </c>
      <c r="I317">
        <v>0</v>
      </c>
      <c r="J317">
        <v>0</v>
      </c>
      <c r="K317">
        <v>1</v>
      </c>
      <c r="L317">
        <v>0</v>
      </c>
      <c r="M317">
        <v>0</v>
      </c>
      <c r="N317">
        <v>1.2534518542158499</v>
      </c>
      <c r="O317">
        <v>4</v>
      </c>
    </row>
    <row r="318" spans="1:15" x14ac:dyDescent="0.3">
      <c r="A318">
        <v>1317</v>
      </c>
      <c r="B318">
        <v>17</v>
      </c>
      <c r="C318">
        <v>1</v>
      </c>
      <c r="D318">
        <v>0</v>
      </c>
      <c r="E318">
        <v>2</v>
      </c>
      <c r="F318">
        <v>6.7369540289430496</v>
      </c>
      <c r="G318">
        <v>27</v>
      </c>
      <c r="H318">
        <v>0</v>
      </c>
      <c r="I318">
        <v>4</v>
      </c>
      <c r="J318">
        <v>0</v>
      </c>
      <c r="K318">
        <v>0</v>
      </c>
      <c r="L318">
        <v>0</v>
      </c>
      <c r="M318">
        <v>0</v>
      </c>
      <c r="N318">
        <v>0.53450888053885603</v>
      </c>
      <c r="O318">
        <v>4</v>
      </c>
    </row>
    <row r="319" spans="1:15" x14ac:dyDescent="0.3">
      <c r="A319">
        <v>1318</v>
      </c>
      <c r="B319">
        <v>15</v>
      </c>
      <c r="C319">
        <v>1</v>
      </c>
      <c r="D319">
        <v>0</v>
      </c>
      <c r="E319">
        <v>2</v>
      </c>
      <c r="F319">
        <v>11.3896477627318</v>
      </c>
      <c r="G319">
        <v>3</v>
      </c>
      <c r="H319">
        <v>1</v>
      </c>
      <c r="I319">
        <v>3</v>
      </c>
      <c r="J319">
        <v>1</v>
      </c>
      <c r="K319">
        <v>0</v>
      </c>
      <c r="L319">
        <v>0</v>
      </c>
      <c r="M319">
        <v>0</v>
      </c>
      <c r="N319">
        <v>3.1910461182199099</v>
      </c>
      <c r="O319">
        <v>1</v>
      </c>
    </row>
    <row r="320" spans="1:15" x14ac:dyDescent="0.3">
      <c r="A320">
        <v>1319</v>
      </c>
      <c r="B320">
        <v>17</v>
      </c>
      <c r="C320">
        <v>1</v>
      </c>
      <c r="D320">
        <v>2</v>
      </c>
      <c r="E320">
        <v>2</v>
      </c>
      <c r="F320">
        <v>17.222270401228499</v>
      </c>
      <c r="G320">
        <v>11</v>
      </c>
      <c r="H320">
        <v>0</v>
      </c>
      <c r="I320">
        <v>3</v>
      </c>
      <c r="J320">
        <v>0</v>
      </c>
      <c r="K320">
        <v>0</v>
      </c>
      <c r="L320">
        <v>1</v>
      </c>
      <c r="M320">
        <v>0</v>
      </c>
      <c r="N320">
        <v>2.8154212753091099</v>
      </c>
      <c r="O320">
        <v>2</v>
      </c>
    </row>
    <row r="321" spans="1:15" x14ac:dyDescent="0.3">
      <c r="A321">
        <v>1320</v>
      </c>
      <c r="B321">
        <v>16</v>
      </c>
      <c r="C321">
        <v>0</v>
      </c>
      <c r="D321">
        <v>1</v>
      </c>
      <c r="E321">
        <v>1</v>
      </c>
      <c r="F321">
        <v>1.56676435524013</v>
      </c>
      <c r="G321">
        <v>10</v>
      </c>
      <c r="H321">
        <v>0</v>
      </c>
      <c r="I321">
        <v>3</v>
      </c>
      <c r="J321">
        <v>0</v>
      </c>
      <c r="K321">
        <v>0</v>
      </c>
      <c r="L321">
        <v>0</v>
      </c>
      <c r="M321">
        <v>0</v>
      </c>
      <c r="N321">
        <v>2.1571223032650901</v>
      </c>
      <c r="O321">
        <v>3</v>
      </c>
    </row>
    <row r="322" spans="1:15" x14ac:dyDescent="0.3">
      <c r="A322">
        <v>1321</v>
      </c>
      <c r="B322">
        <v>18</v>
      </c>
      <c r="C322">
        <v>1</v>
      </c>
      <c r="D322">
        <v>0</v>
      </c>
      <c r="E322">
        <v>1</v>
      </c>
      <c r="F322">
        <v>1.45149596089421</v>
      </c>
      <c r="G322">
        <v>2</v>
      </c>
      <c r="H322">
        <v>0</v>
      </c>
      <c r="I322">
        <v>1</v>
      </c>
      <c r="J322">
        <v>1</v>
      </c>
      <c r="K322">
        <v>0</v>
      </c>
      <c r="L322">
        <v>0</v>
      </c>
      <c r="M322">
        <v>0</v>
      </c>
      <c r="N322">
        <v>2.7238280604010598</v>
      </c>
      <c r="O322">
        <v>2</v>
      </c>
    </row>
    <row r="323" spans="1:15" x14ac:dyDescent="0.3">
      <c r="A323">
        <v>1322</v>
      </c>
      <c r="B323">
        <v>15</v>
      </c>
      <c r="C323">
        <v>1</v>
      </c>
      <c r="D323">
        <v>0</v>
      </c>
      <c r="E323">
        <v>1</v>
      </c>
      <c r="F323">
        <v>17.006354163151901</v>
      </c>
      <c r="G323">
        <v>11</v>
      </c>
      <c r="H323">
        <v>0</v>
      </c>
      <c r="I323">
        <v>4</v>
      </c>
      <c r="J323">
        <v>1</v>
      </c>
      <c r="K323">
        <v>0</v>
      </c>
      <c r="L323">
        <v>0</v>
      </c>
      <c r="M323">
        <v>0</v>
      </c>
      <c r="N323">
        <v>2.6276939055543398</v>
      </c>
      <c r="O323">
        <v>2</v>
      </c>
    </row>
    <row r="324" spans="1:15" x14ac:dyDescent="0.3">
      <c r="A324">
        <v>1323</v>
      </c>
      <c r="B324">
        <v>18</v>
      </c>
      <c r="C324">
        <v>1</v>
      </c>
      <c r="D324">
        <v>0</v>
      </c>
      <c r="E324">
        <v>1</v>
      </c>
      <c r="F324">
        <v>4.25700172076714</v>
      </c>
      <c r="G324">
        <v>29</v>
      </c>
      <c r="H324">
        <v>1</v>
      </c>
      <c r="I324">
        <v>3</v>
      </c>
      <c r="J324">
        <v>1</v>
      </c>
      <c r="K324">
        <v>1</v>
      </c>
      <c r="L324">
        <v>0</v>
      </c>
      <c r="M324">
        <v>0</v>
      </c>
      <c r="N324">
        <v>0.91241562083542505</v>
      </c>
      <c r="O324">
        <v>4</v>
      </c>
    </row>
    <row r="325" spans="1:15" x14ac:dyDescent="0.3">
      <c r="A325">
        <v>1324</v>
      </c>
      <c r="B325">
        <v>16</v>
      </c>
      <c r="C325">
        <v>0</v>
      </c>
      <c r="D325">
        <v>0</v>
      </c>
      <c r="E325">
        <v>0</v>
      </c>
      <c r="F325">
        <v>13.3750650889962</v>
      </c>
      <c r="G325">
        <v>4</v>
      </c>
      <c r="H325">
        <v>0</v>
      </c>
      <c r="I325">
        <v>2</v>
      </c>
      <c r="J325">
        <v>0</v>
      </c>
      <c r="K325">
        <v>0</v>
      </c>
      <c r="L325">
        <v>0</v>
      </c>
      <c r="M325">
        <v>0</v>
      </c>
      <c r="N325">
        <v>2.6096230818174502</v>
      </c>
      <c r="O325">
        <v>2</v>
      </c>
    </row>
    <row r="326" spans="1:15" x14ac:dyDescent="0.3">
      <c r="A326">
        <v>1325</v>
      </c>
      <c r="B326">
        <v>16</v>
      </c>
      <c r="C326">
        <v>1</v>
      </c>
      <c r="D326">
        <v>1</v>
      </c>
      <c r="E326">
        <v>2</v>
      </c>
      <c r="F326">
        <v>10.857562647216101</v>
      </c>
      <c r="G326">
        <v>5</v>
      </c>
      <c r="H326">
        <v>1</v>
      </c>
      <c r="I326">
        <v>1</v>
      </c>
      <c r="J326">
        <v>0</v>
      </c>
      <c r="K326">
        <v>1</v>
      </c>
      <c r="L326">
        <v>0</v>
      </c>
      <c r="M326">
        <v>0</v>
      </c>
      <c r="N326">
        <v>2.98199225540615</v>
      </c>
      <c r="O326">
        <v>2</v>
      </c>
    </row>
    <row r="327" spans="1:15" x14ac:dyDescent="0.3">
      <c r="A327">
        <v>1326</v>
      </c>
      <c r="B327">
        <v>16</v>
      </c>
      <c r="C327">
        <v>0</v>
      </c>
      <c r="D327">
        <v>3</v>
      </c>
      <c r="E327">
        <v>4</v>
      </c>
      <c r="F327">
        <v>16.657871897744499</v>
      </c>
      <c r="G327">
        <v>18</v>
      </c>
      <c r="H327">
        <v>0</v>
      </c>
      <c r="I327">
        <v>3</v>
      </c>
      <c r="J327">
        <v>0</v>
      </c>
      <c r="K327">
        <v>0</v>
      </c>
      <c r="L327">
        <v>0</v>
      </c>
      <c r="M327">
        <v>0</v>
      </c>
      <c r="N327">
        <v>1.6250827736961899</v>
      </c>
      <c r="O327">
        <v>4</v>
      </c>
    </row>
    <row r="328" spans="1:15" x14ac:dyDescent="0.3">
      <c r="A328">
        <v>1327</v>
      </c>
      <c r="B328">
        <v>17</v>
      </c>
      <c r="C328">
        <v>0</v>
      </c>
      <c r="D328">
        <v>2</v>
      </c>
      <c r="E328">
        <v>4</v>
      </c>
      <c r="F328">
        <v>2.5017781967280701</v>
      </c>
      <c r="G328">
        <v>17</v>
      </c>
      <c r="H328">
        <v>0</v>
      </c>
      <c r="I328">
        <v>3</v>
      </c>
      <c r="J328">
        <v>0</v>
      </c>
      <c r="K328">
        <v>1</v>
      </c>
      <c r="L328">
        <v>0</v>
      </c>
      <c r="M328">
        <v>0</v>
      </c>
      <c r="N328">
        <v>1.3616984178594</v>
      </c>
      <c r="O328">
        <v>4</v>
      </c>
    </row>
    <row r="329" spans="1:15" x14ac:dyDescent="0.3">
      <c r="A329">
        <v>1328</v>
      </c>
      <c r="B329">
        <v>17</v>
      </c>
      <c r="C329">
        <v>1</v>
      </c>
      <c r="D329">
        <v>0</v>
      </c>
      <c r="E329">
        <v>3</v>
      </c>
      <c r="F329">
        <v>2.5956593144522202</v>
      </c>
      <c r="G329">
        <v>15</v>
      </c>
      <c r="H329">
        <v>1</v>
      </c>
      <c r="I329">
        <v>3</v>
      </c>
      <c r="J329">
        <v>0</v>
      </c>
      <c r="K329">
        <v>0</v>
      </c>
      <c r="L329">
        <v>0</v>
      </c>
      <c r="M329">
        <v>0</v>
      </c>
      <c r="N329">
        <v>1.9169618961294299</v>
      </c>
      <c r="O329">
        <v>4</v>
      </c>
    </row>
    <row r="330" spans="1:15" x14ac:dyDescent="0.3">
      <c r="A330">
        <v>1329</v>
      </c>
      <c r="B330">
        <v>18</v>
      </c>
      <c r="C330">
        <v>1</v>
      </c>
      <c r="D330">
        <v>2</v>
      </c>
      <c r="E330">
        <v>2</v>
      </c>
      <c r="F330">
        <v>11.136367205566099</v>
      </c>
      <c r="G330">
        <v>22</v>
      </c>
      <c r="H330">
        <v>0</v>
      </c>
      <c r="I330">
        <v>0</v>
      </c>
      <c r="J330">
        <v>0</v>
      </c>
      <c r="K330">
        <v>0</v>
      </c>
      <c r="L330">
        <v>0</v>
      </c>
      <c r="M330">
        <v>0</v>
      </c>
      <c r="N330">
        <v>1.01125319461675</v>
      </c>
      <c r="O330">
        <v>4</v>
      </c>
    </row>
    <row r="331" spans="1:15" x14ac:dyDescent="0.3">
      <c r="A331">
        <v>1330</v>
      </c>
      <c r="B331">
        <v>18</v>
      </c>
      <c r="C331">
        <v>0</v>
      </c>
      <c r="D331">
        <v>2</v>
      </c>
      <c r="E331">
        <v>2</v>
      </c>
      <c r="F331">
        <v>18.927573067167401</v>
      </c>
      <c r="G331">
        <v>10</v>
      </c>
      <c r="H331">
        <v>0</v>
      </c>
      <c r="I331">
        <v>1</v>
      </c>
      <c r="J331">
        <v>1</v>
      </c>
      <c r="K331">
        <v>1</v>
      </c>
      <c r="L331">
        <v>0</v>
      </c>
      <c r="M331">
        <v>0</v>
      </c>
      <c r="N331">
        <v>2.3321590405051098</v>
      </c>
      <c r="O331">
        <v>3</v>
      </c>
    </row>
    <row r="332" spans="1:15" x14ac:dyDescent="0.3">
      <c r="A332">
        <v>1331</v>
      </c>
      <c r="B332">
        <v>15</v>
      </c>
      <c r="C332">
        <v>1</v>
      </c>
      <c r="D332">
        <v>2</v>
      </c>
      <c r="E332">
        <v>1</v>
      </c>
      <c r="F332">
        <v>8.2999551674150798</v>
      </c>
      <c r="G332">
        <v>4</v>
      </c>
      <c r="H332">
        <v>0</v>
      </c>
      <c r="I332">
        <v>2</v>
      </c>
      <c r="J332">
        <v>1</v>
      </c>
      <c r="K332">
        <v>1</v>
      </c>
      <c r="L332">
        <v>1</v>
      </c>
      <c r="M332">
        <v>0</v>
      </c>
      <c r="N332">
        <v>3.3879383477659899</v>
      </c>
      <c r="O332">
        <v>1</v>
      </c>
    </row>
    <row r="333" spans="1:15" x14ac:dyDescent="0.3">
      <c r="A333">
        <v>1332</v>
      </c>
      <c r="B333">
        <v>15</v>
      </c>
      <c r="C333">
        <v>0</v>
      </c>
      <c r="D333">
        <v>0</v>
      </c>
      <c r="E333">
        <v>2</v>
      </c>
      <c r="F333">
        <v>6.5388420050938896</v>
      </c>
      <c r="G333">
        <v>8</v>
      </c>
      <c r="H333">
        <v>0</v>
      </c>
      <c r="I333">
        <v>3</v>
      </c>
      <c r="J333">
        <v>0</v>
      </c>
      <c r="K333">
        <v>1</v>
      </c>
      <c r="L333">
        <v>0</v>
      </c>
      <c r="M333">
        <v>0</v>
      </c>
      <c r="N333">
        <v>2.3846907913584001</v>
      </c>
      <c r="O333">
        <v>3</v>
      </c>
    </row>
    <row r="334" spans="1:15" x14ac:dyDescent="0.3">
      <c r="A334">
        <v>1333</v>
      </c>
      <c r="B334">
        <v>18</v>
      </c>
      <c r="C334">
        <v>0</v>
      </c>
      <c r="D334">
        <v>0</v>
      </c>
      <c r="E334">
        <v>2</v>
      </c>
      <c r="F334">
        <v>12.1337864639577</v>
      </c>
      <c r="G334">
        <v>2</v>
      </c>
      <c r="H334">
        <v>0</v>
      </c>
      <c r="I334">
        <v>0</v>
      </c>
      <c r="J334">
        <v>0</v>
      </c>
      <c r="K334">
        <v>0</v>
      </c>
      <c r="L334">
        <v>0</v>
      </c>
      <c r="M334">
        <v>0</v>
      </c>
      <c r="N334">
        <v>2.7808169956104898</v>
      </c>
      <c r="O334">
        <v>2</v>
      </c>
    </row>
    <row r="335" spans="1:15" x14ac:dyDescent="0.3">
      <c r="A335">
        <v>1334</v>
      </c>
      <c r="B335">
        <v>17</v>
      </c>
      <c r="C335">
        <v>1</v>
      </c>
      <c r="D335">
        <v>0</v>
      </c>
      <c r="E335">
        <v>2</v>
      </c>
      <c r="F335">
        <v>18.608972010900601</v>
      </c>
      <c r="G335">
        <v>29</v>
      </c>
      <c r="H335">
        <v>0</v>
      </c>
      <c r="I335">
        <v>2</v>
      </c>
      <c r="J335">
        <v>0</v>
      </c>
      <c r="K335">
        <v>1</v>
      </c>
      <c r="L335">
        <v>0</v>
      </c>
      <c r="M335">
        <v>1</v>
      </c>
      <c r="N335">
        <v>0.53483575353947299</v>
      </c>
      <c r="O335">
        <v>4</v>
      </c>
    </row>
    <row r="336" spans="1:15" x14ac:dyDescent="0.3">
      <c r="A336">
        <v>1335</v>
      </c>
      <c r="B336">
        <v>16</v>
      </c>
      <c r="C336">
        <v>1</v>
      </c>
      <c r="D336">
        <v>0</v>
      </c>
      <c r="E336">
        <v>2</v>
      </c>
      <c r="F336">
        <v>16.738556656892399</v>
      </c>
      <c r="G336">
        <v>7</v>
      </c>
      <c r="H336">
        <v>0</v>
      </c>
      <c r="I336">
        <v>2</v>
      </c>
      <c r="J336">
        <v>0</v>
      </c>
      <c r="K336">
        <v>0</v>
      </c>
      <c r="L336">
        <v>0</v>
      </c>
      <c r="M336">
        <v>0</v>
      </c>
      <c r="N336">
        <v>2.5422143487820299</v>
      </c>
      <c r="O336">
        <v>2</v>
      </c>
    </row>
    <row r="337" spans="1:15" x14ac:dyDescent="0.3">
      <c r="A337">
        <v>1336</v>
      </c>
      <c r="B337">
        <v>18</v>
      </c>
      <c r="C337">
        <v>0</v>
      </c>
      <c r="D337">
        <v>0</v>
      </c>
      <c r="E337">
        <v>1</v>
      </c>
      <c r="F337">
        <v>19.909672214664301</v>
      </c>
      <c r="G337">
        <v>5</v>
      </c>
      <c r="H337">
        <v>0</v>
      </c>
      <c r="I337">
        <v>3</v>
      </c>
      <c r="J337">
        <v>0</v>
      </c>
      <c r="K337">
        <v>0</v>
      </c>
      <c r="L337">
        <v>0</v>
      </c>
      <c r="M337">
        <v>0</v>
      </c>
      <c r="N337">
        <v>3.0071290674312801</v>
      </c>
      <c r="O337">
        <v>1</v>
      </c>
    </row>
    <row r="338" spans="1:15" x14ac:dyDescent="0.3">
      <c r="A338">
        <v>1337</v>
      </c>
      <c r="B338">
        <v>15</v>
      </c>
      <c r="C338">
        <v>0</v>
      </c>
      <c r="D338">
        <v>0</v>
      </c>
      <c r="E338">
        <v>1</v>
      </c>
      <c r="F338">
        <v>0.45137166404754098</v>
      </c>
      <c r="G338">
        <v>3</v>
      </c>
      <c r="H338">
        <v>0</v>
      </c>
      <c r="I338">
        <v>2</v>
      </c>
      <c r="J338">
        <v>1</v>
      </c>
      <c r="K338">
        <v>0</v>
      </c>
      <c r="L338">
        <v>0</v>
      </c>
      <c r="M338">
        <v>0</v>
      </c>
      <c r="N338">
        <v>2.9858098143768101</v>
      </c>
      <c r="O338">
        <v>2</v>
      </c>
    </row>
    <row r="339" spans="1:15" x14ac:dyDescent="0.3">
      <c r="A339">
        <v>1338</v>
      </c>
      <c r="B339">
        <v>17</v>
      </c>
      <c r="C339">
        <v>0</v>
      </c>
      <c r="D339">
        <v>0</v>
      </c>
      <c r="E339">
        <v>3</v>
      </c>
      <c r="F339">
        <v>2.2571628942552402</v>
      </c>
      <c r="G339">
        <v>11</v>
      </c>
      <c r="H339">
        <v>0</v>
      </c>
      <c r="I339">
        <v>2</v>
      </c>
      <c r="J339">
        <v>0</v>
      </c>
      <c r="K339">
        <v>1</v>
      </c>
      <c r="L339">
        <v>0</v>
      </c>
      <c r="M339">
        <v>0</v>
      </c>
      <c r="N339">
        <v>1.9493060573283001</v>
      </c>
      <c r="O339">
        <v>4</v>
      </c>
    </row>
    <row r="340" spans="1:15" x14ac:dyDescent="0.3">
      <c r="A340">
        <v>1339</v>
      </c>
      <c r="B340">
        <v>18</v>
      </c>
      <c r="C340">
        <v>0</v>
      </c>
      <c r="D340">
        <v>2</v>
      </c>
      <c r="E340">
        <v>0</v>
      </c>
      <c r="F340">
        <v>12.189355267332401</v>
      </c>
      <c r="G340">
        <v>11</v>
      </c>
      <c r="H340">
        <v>0</v>
      </c>
      <c r="I340">
        <v>3</v>
      </c>
      <c r="J340">
        <v>0</v>
      </c>
      <c r="K340">
        <v>0</v>
      </c>
      <c r="L340">
        <v>0</v>
      </c>
      <c r="M340">
        <v>0</v>
      </c>
      <c r="N340">
        <v>2.1478451963634901</v>
      </c>
      <c r="O340">
        <v>3</v>
      </c>
    </row>
    <row r="341" spans="1:15" x14ac:dyDescent="0.3">
      <c r="A341">
        <v>1340</v>
      </c>
      <c r="B341">
        <v>18</v>
      </c>
      <c r="C341">
        <v>1</v>
      </c>
      <c r="D341">
        <v>0</v>
      </c>
      <c r="E341">
        <v>2</v>
      </c>
      <c r="F341">
        <v>16.4115287866769</v>
      </c>
      <c r="G341">
        <v>24</v>
      </c>
      <c r="H341">
        <v>0</v>
      </c>
      <c r="I341">
        <v>4</v>
      </c>
      <c r="J341">
        <v>0</v>
      </c>
      <c r="K341">
        <v>0</v>
      </c>
      <c r="L341">
        <v>0</v>
      </c>
      <c r="M341">
        <v>1</v>
      </c>
      <c r="N341">
        <v>1.17576802523584</v>
      </c>
      <c r="O341">
        <v>4</v>
      </c>
    </row>
    <row r="342" spans="1:15" x14ac:dyDescent="0.3">
      <c r="A342">
        <v>1341</v>
      </c>
      <c r="B342">
        <v>17</v>
      </c>
      <c r="C342">
        <v>1</v>
      </c>
      <c r="D342">
        <v>0</v>
      </c>
      <c r="E342">
        <v>3</v>
      </c>
      <c r="F342">
        <v>5.7048868461353299</v>
      </c>
      <c r="G342">
        <v>20</v>
      </c>
      <c r="H342">
        <v>0</v>
      </c>
      <c r="I342">
        <v>1</v>
      </c>
      <c r="J342">
        <v>1</v>
      </c>
      <c r="K342">
        <v>0</v>
      </c>
      <c r="L342">
        <v>0</v>
      </c>
      <c r="M342">
        <v>0</v>
      </c>
      <c r="N342">
        <v>1.40036325409442</v>
      </c>
      <c r="O342">
        <v>4</v>
      </c>
    </row>
    <row r="343" spans="1:15" x14ac:dyDescent="0.3">
      <c r="A343">
        <v>1342</v>
      </c>
      <c r="B343">
        <v>18</v>
      </c>
      <c r="C343">
        <v>1</v>
      </c>
      <c r="D343">
        <v>3</v>
      </c>
      <c r="E343">
        <v>2</v>
      </c>
      <c r="F343">
        <v>4.7842217606843702</v>
      </c>
      <c r="G343">
        <v>15</v>
      </c>
      <c r="H343">
        <v>0</v>
      </c>
      <c r="I343">
        <v>1</v>
      </c>
      <c r="J343">
        <v>1</v>
      </c>
      <c r="K343">
        <v>0</v>
      </c>
      <c r="L343">
        <v>1</v>
      </c>
      <c r="M343">
        <v>0</v>
      </c>
      <c r="N343">
        <v>1.7555440233413899</v>
      </c>
      <c r="O343">
        <v>4</v>
      </c>
    </row>
    <row r="344" spans="1:15" x14ac:dyDescent="0.3">
      <c r="A344">
        <v>1343</v>
      </c>
      <c r="B344">
        <v>17</v>
      </c>
      <c r="C344">
        <v>1</v>
      </c>
      <c r="D344">
        <v>3</v>
      </c>
      <c r="E344">
        <v>2</v>
      </c>
      <c r="F344">
        <v>15.739515987623999</v>
      </c>
      <c r="G344">
        <v>9</v>
      </c>
      <c r="H344">
        <v>0</v>
      </c>
      <c r="I344">
        <v>4</v>
      </c>
      <c r="J344">
        <v>1</v>
      </c>
      <c r="K344">
        <v>0</v>
      </c>
      <c r="L344">
        <v>1</v>
      </c>
      <c r="M344">
        <v>0</v>
      </c>
      <c r="N344">
        <v>2.9000962392055398</v>
      </c>
      <c r="O344">
        <v>2</v>
      </c>
    </row>
    <row r="345" spans="1:15" x14ac:dyDescent="0.3">
      <c r="A345">
        <v>1344</v>
      </c>
      <c r="B345">
        <v>16</v>
      </c>
      <c r="C345">
        <v>1</v>
      </c>
      <c r="D345">
        <v>2</v>
      </c>
      <c r="E345">
        <v>1</v>
      </c>
      <c r="F345">
        <v>1.12763707706463</v>
      </c>
      <c r="G345">
        <v>21</v>
      </c>
      <c r="H345">
        <v>0</v>
      </c>
      <c r="I345">
        <v>2</v>
      </c>
      <c r="J345">
        <v>0</v>
      </c>
      <c r="K345">
        <v>0</v>
      </c>
      <c r="L345">
        <v>0</v>
      </c>
      <c r="M345">
        <v>0</v>
      </c>
      <c r="N345">
        <v>1.03345949069015</v>
      </c>
      <c r="O345">
        <v>4</v>
      </c>
    </row>
    <row r="346" spans="1:15" x14ac:dyDescent="0.3">
      <c r="A346">
        <v>1345</v>
      </c>
      <c r="B346">
        <v>17</v>
      </c>
      <c r="C346">
        <v>0</v>
      </c>
      <c r="D346">
        <v>3</v>
      </c>
      <c r="E346">
        <v>1</v>
      </c>
      <c r="F346">
        <v>7.3876529516516998</v>
      </c>
      <c r="G346">
        <v>13</v>
      </c>
      <c r="H346">
        <v>0</v>
      </c>
      <c r="I346">
        <v>3</v>
      </c>
      <c r="J346">
        <v>0</v>
      </c>
      <c r="K346">
        <v>0</v>
      </c>
      <c r="L346">
        <v>0</v>
      </c>
      <c r="M346">
        <v>1</v>
      </c>
      <c r="N346">
        <v>1.90774236338715</v>
      </c>
      <c r="O346">
        <v>4</v>
      </c>
    </row>
    <row r="347" spans="1:15" x14ac:dyDescent="0.3">
      <c r="A347">
        <v>1346</v>
      </c>
      <c r="B347">
        <v>17</v>
      </c>
      <c r="C347">
        <v>1</v>
      </c>
      <c r="D347">
        <v>1</v>
      </c>
      <c r="E347">
        <v>3</v>
      </c>
      <c r="F347">
        <v>10.1161844518465</v>
      </c>
      <c r="G347">
        <v>12</v>
      </c>
      <c r="H347">
        <v>0</v>
      </c>
      <c r="I347">
        <v>3</v>
      </c>
      <c r="J347">
        <v>0</v>
      </c>
      <c r="K347">
        <v>0</v>
      </c>
      <c r="L347">
        <v>0</v>
      </c>
      <c r="M347">
        <v>0</v>
      </c>
      <c r="N347">
        <v>1.88090928976547</v>
      </c>
      <c r="O347">
        <v>4</v>
      </c>
    </row>
    <row r="348" spans="1:15" x14ac:dyDescent="0.3">
      <c r="A348">
        <v>1347</v>
      </c>
      <c r="B348">
        <v>17</v>
      </c>
      <c r="C348">
        <v>1</v>
      </c>
      <c r="D348">
        <v>3</v>
      </c>
      <c r="E348">
        <v>2</v>
      </c>
      <c r="F348">
        <v>11.206973487006399</v>
      </c>
      <c r="G348">
        <v>8</v>
      </c>
      <c r="H348">
        <v>0</v>
      </c>
      <c r="I348">
        <v>1</v>
      </c>
      <c r="J348">
        <v>0</v>
      </c>
      <c r="K348">
        <v>1</v>
      </c>
      <c r="L348">
        <v>1</v>
      </c>
      <c r="M348">
        <v>0</v>
      </c>
      <c r="N348">
        <v>2.6149503539497898</v>
      </c>
      <c r="O348">
        <v>2</v>
      </c>
    </row>
    <row r="349" spans="1:15" x14ac:dyDescent="0.3">
      <c r="A349">
        <v>1348</v>
      </c>
      <c r="B349">
        <v>18</v>
      </c>
      <c r="C349">
        <v>1</v>
      </c>
      <c r="D349">
        <v>0</v>
      </c>
      <c r="E349">
        <v>2</v>
      </c>
      <c r="F349">
        <v>14.572303135855501</v>
      </c>
      <c r="G349">
        <v>6</v>
      </c>
      <c r="H349">
        <v>0</v>
      </c>
      <c r="I349">
        <v>3</v>
      </c>
      <c r="J349">
        <v>1</v>
      </c>
      <c r="K349">
        <v>0</v>
      </c>
      <c r="L349">
        <v>1</v>
      </c>
      <c r="M349">
        <v>0</v>
      </c>
      <c r="N349">
        <v>3.1071355935726102</v>
      </c>
      <c r="O349">
        <v>1</v>
      </c>
    </row>
    <row r="350" spans="1:15" x14ac:dyDescent="0.3">
      <c r="A350">
        <v>1349</v>
      </c>
      <c r="B350">
        <v>18</v>
      </c>
      <c r="C350">
        <v>1</v>
      </c>
      <c r="D350">
        <v>0</v>
      </c>
      <c r="E350">
        <v>0</v>
      </c>
      <c r="F350">
        <v>7.0969144686131598</v>
      </c>
      <c r="G350">
        <v>11</v>
      </c>
      <c r="H350">
        <v>0</v>
      </c>
      <c r="I350">
        <v>3</v>
      </c>
      <c r="J350">
        <v>0</v>
      </c>
      <c r="K350">
        <v>0</v>
      </c>
      <c r="L350">
        <v>0</v>
      </c>
      <c r="M350">
        <v>0</v>
      </c>
      <c r="N350">
        <v>1.3864645615</v>
      </c>
      <c r="O350">
        <v>4</v>
      </c>
    </row>
    <row r="351" spans="1:15" x14ac:dyDescent="0.3">
      <c r="A351">
        <v>1350</v>
      </c>
      <c r="B351">
        <v>17</v>
      </c>
      <c r="C351">
        <v>1</v>
      </c>
      <c r="D351">
        <v>0</v>
      </c>
      <c r="E351">
        <v>0</v>
      </c>
      <c r="F351">
        <v>12.2536868934921</v>
      </c>
      <c r="G351">
        <v>4</v>
      </c>
      <c r="H351">
        <v>0</v>
      </c>
      <c r="I351">
        <v>2</v>
      </c>
      <c r="J351">
        <v>0</v>
      </c>
      <c r="K351">
        <v>0</v>
      </c>
      <c r="L351">
        <v>0</v>
      </c>
      <c r="M351">
        <v>0</v>
      </c>
      <c r="N351">
        <v>2.8337600718448099</v>
      </c>
      <c r="O351">
        <v>2</v>
      </c>
    </row>
    <row r="352" spans="1:15" x14ac:dyDescent="0.3">
      <c r="A352">
        <v>1351</v>
      </c>
      <c r="B352">
        <v>18</v>
      </c>
      <c r="C352">
        <v>0</v>
      </c>
      <c r="D352">
        <v>0</v>
      </c>
      <c r="E352">
        <v>4</v>
      </c>
      <c r="F352">
        <v>11.7075084558191</v>
      </c>
      <c r="G352">
        <v>17</v>
      </c>
      <c r="H352">
        <v>0</v>
      </c>
      <c r="I352">
        <v>0</v>
      </c>
      <c r="J352">
        <v>0</v>
      </c>
      <c r="K352">
        <v>0</v>
      </c>
      <c r="L352">
        <v>1</v>
      </c>
      <c r="M352">
        <v>0</v>
      </c>
      <c r="N352">
        <v>1.0861513973549899</v>
      </c>
      <c r="O352">
        <v>4</v>
      </c>
    </row>
    <row r="353" spans="1:15" x14ac:dyDescent="0.3">
      <c r="A353">
        <v>1352</v>
      </c>
      <c r="B353">
        <v>15</v>
      </c>
      <c r="C353">
        <v>0</v>
      </c>
      <c r="D353">
        <v>0</v>
      </c>
      <c r="E353">
        <v>1</v>
      </c>
      <c r="F353">
        <v>10.9523220130749</v>
      </c>
      <c r="G353">
        <v>3</v>
      </c>
      <c r="H353">
        <v>0</v>
      </c>
      <c r="I353">
        <v>4</v>
      </c>
      <c r="J353">
        <v>0</v>
      </c>
      <c r="K353">
        <v>0</v>
      </c>
      <c r="L353">
        <v>0</v>
      </c>
      <c r="M353">
        <v>0</v>
      </c>
      <c r="N353">
        <v>2.8740373600353002</v>
      </c>
      <c r="O353">
        <v>2</v>
      </c>
    </row>
    <row r="354" spans="1:15" x14ac:dyDescent="0.3">
      <c r="A354">
        <v>1353</v>
      </c>
      <c r="B354">
        <v>15</v>
      </c>
      <c r="C354">
        <v>0</v>
      </c>
      <c r="D354">
        <v>1</v>
      </c>
      <c r="E354">
        <v>2</v>
      </c>
      <c r="F354">
        <v>12.8096658628442</v>
      </c>
      <c r="G354">
        <v>1</v>
      </c>
      <c r="H354">
        <v>0</v>
      </c>
      <c r="I354">
        <v>2</v>
      </c>
      <c r="J354">
        <v>0</v>
      </c>
      <c r="K354">
        <v>1</v>
      </c>
      <c r="L354">
        <v>0</v>
      </c>
      <c r="M354">
        <v>0</v>
      </c>
      <c r="N354">
        <v>2.8956713046591802</v>
      </c>
      <c r="O354">
        <v>2</v>
      </c>
    </row>
    <row r="355" spans="1:15" x14ac:dyDescent="0.3">
      <c r="A355">
        <v>1354</v>
      </c>
      <c r="B355">
        <v>18</v>
      </c>
      <c r="C355">
        <v>1</v>
      </c>
      <c r="D355">
        <v>2</v>
      </c>
      <c r="E355">
        <v>0</v>
      </c>
      <c r="F355">
        <v>5.1889834213615202</v>
      </c>
      <c r="G355">
        <v>2</v>
      </c>
      <c r="H355">
        <v>1</v>
      </c>
      <c r="I355">
        <v>3</v>
      </c>
      <c r="J355">
        <v>0</v>
      </c>
      <c r="K355">
        <v>0</v>
      </c>
      <c r="L355">
        <v>0</v>
      </c>
      <c r="M355">
        <v>0</v>
      </c>
      <c r="N355">
        <v>3.1813076022771098</v>
      </c>
      <c r="O355">
        <v>1</v>
      </c>
    </row>
    <row r="356" spans="1:15" x14ac:dyDescent="0.3">
      <c r="A356">
        <v>1355</v>
      </c>
      <c r="B356">
        <v>18</v>
      </c>
      <c r="C356">
        <v>0</v>
      </c>
      <c r="D356">
        <v>1</v>
      </c>
      <c r="E356">
        <v>2</v>
      </c>
      <c r="F356">
        <v>1.69297507169257</v>
      </c>
      <c r="G356">
        <v>25</v>
      </c>
      <c r="H356">
        <v>0</v>
      </c>
      <c r="I356">
        <v>3</v>
      </c>
      <c r="J356">
        <v>0</v>
      </c>
      <c r="K356">
        <v>0</v>
      </c>
      <c r="L356">
        <v>0</v>
      </c>
      <c r="M356">
        <v>0</v>
      </c>
      <c r="N356">
        <v>0.471283108843431</v>
      </c>
      <c r="O356">
        <v>4</v>
      </c>
    </row>
    <row r="357" spans="1:15" x14ac:dyDescent="0.3">
      <c r="A357">
        <v>1356</v>
      </c>
      <c r="B357">
        <v>17</v>
      </c>
      <c r="C357">
        <v>0</v>
      </c>
      <c r="D357">
        <v>0</v>
      </c>
      <c r="E357">
        <v>3</v>
      </c>
      <c r="F357">
        <v>2.3854334407948601</v>
      </c>
      <c r="G357">
        <v>11</v>
      </c>
      <c r="H357">
        <v>1</v>
      </c>
      <c r="I357">
        <v>2</v>
      </c>
      <c r="J357">
        <v>0</v>
      </c>
      <c r="K357">
        <v>0</v>
      </c>
      <c r="L357">
        <v>0</v>
      </c>
      <c r="M357">
        <v>0</v>
      </c>
      <c r="N357">
        <v>2.2113795279733499</v>
      </c>
      <c r="O357">
        <v>3</v>
      </c>
    </row>
    <row r="358" spans="1:15" x14ac:dyDescent="0.3">
      <c r="A358">
        <v>1357</v>
      </c>
      <c r="B358">
        <v>16</v>
      </c>
      <c r="C358">
        <v>1</v>
      </c>
      <c r="D358">
        <v>2</v>
      </c>
      <c r="E358">
        <v>2</v>
      </c>
      <c r="F358">
        <v>4.4916476530780196</v>
      </c>
      <c r="G358">
        <v>2</v>
      </c>
      <c r="H358">
        <v>1</v>
      </c>
      <c r="I358">
        <v>3</v>
      </c>
      <c r="J358">
        <v>1</v>
      </c>
      <c r="K358">
        <v>1</v>
      </c>
      <c r="L358">
        <v>0</v>
      </c>
      <c r="M358">
        <v>0</v>
      </c>
      <c r="N358">
        <v>3.37525225524608</v>
      </c>
      <c r="O358">
        <v>1</v>
      </c>
    </row>
    <row r="359" spans="1:15" x14ac:dyDescent="0.3">
      <c r="A359">
        <v>1358</v>
      </c>
      <c r="B359">
        <v>18</v>
      </c>
      <c r="C359">
        <v>1</v>
      </c>
      <c r="D359">
        <v>1</v>
      </c>
      <c r="E359">
        <v>1</v>
      </c>
      <c r="F359">
        <v>10.0039587104557</v>
      </c>
      <c r="G359">
        <v>3</v>
      </c>
      <c r="H359">
        <v>0</v>
      </c>
      <c r="I359">
        <v>4</v>
      </c>
      <c r="J359">
        <v>0</v>
      </c>
      <c r="K359">
        <v>1</v>
      </c>
      <c r="L359">
        <v>0</v>
      </c>
      <c r="M359">
        <v>0</v>
      </c>
      <c r="N359">
        <v>3.2038581907969199</v>
      </c>
      <c r="O359">
        <v>1</v>
      </c>
    </row>
    <row r="360" spans="1:15" x14ac:dyDescent="0.3">
      <c r="A360">
        <v>1359</v>
      </c>
      <c r="B360">
        <v>15</v>
      </c>
      <c r="C360">
        <v>1</v>
      </c>
      <c r="D360">
        <v>0</v>
      </c>
      <c r="E360">
        <v>2</v>
      </c>
      <c r="F360">
        <v>16.8088550109204</v>
      </c>
      <c r="G360">
        <v>5</v>
      </c>
      <c r="H360">
        <v>0</v>
      </c>
      <c r="I360">
        <v>2</v>
      </c>
      <c r="J360">
        <v>0</v>
      </c>
      <c r="K360">
        <v>0</v>
      </c>
      <c r="L360">
        <v>1</v>
      </c>
      <c r="M360">
        <v>0</v>
      </c>
      <c r="N360">
        <v>3.3501791105924799</v>
      </c>
      <c r="O360">
        <v>1</v>
      </c>
    </row>
    <row r="361" spans="1:15" x14ac:dyDescent="0.3">
      <c r="A361">
        <v>1360</v>
      </c>
      <c r="B361">
        <v>17</v>
      </c>
      <c r="C361">
        <v>0</v>
      </c>
      <c r="D361">
        <v>1</v>
      </c>
      <c r="E361">
        <v>2</v>
      </c>
      <c r="F361">
        <v>14.0258668417676</v>
      </c>
      <c r="G361">
        <v>11</v>
      </c>
      <c r="H361">
        <v>0</v>
      </c>
      <c r="I361">
        <v>2</v>
      </c>
      <c r="J361">
        <v>0</v>
      </c>
      <c r="K361">
        <v>0</v>
      </c>
      <c r="L361">
        <v>0</v>
      </c>
      <c r="M361">
        <v>0</v>
      </c>
      <c r="N361">
        <v>1.72579152974271</v>
      </c>
      <c r="O361">
        <v>4</v>
      </c>
    </row>
    <row r="362" spans="1:15" x14ac:dyDescent="0.3">
      <c r="A362">
        <v>1361</v>
      </c>
      <c r="B362">
        <v>18</v>
      </c>
      <c r="C362">
        <v>0</v>
      </c>
      <c r="D362">
        <v>0</v>
      </c>
      <c r="E362">
        <v>2</v>
      </c>
      <c r="F362">
        <v>15.7808120840409</v>
      </c>
      <c r="G362">
        <v>18</v>
      </c>
      <c r="H362">
        <v>0</v>
      </c>
      <c r="I362">
        <v>4</v>
      </c>
      <c r="J362">
        <v>1</v>
      </c>
      <c r="K362">
        <v>0</v>
      </c>
      <c r="L362">
        <v>0</v>
      </c>
      <c r="M362">
        <v>0</v>
      </c>
      <c r="N362">
        <v>2.2166038146961</v>
      </c>
      <c r="O362">
        <v>3</v>
      </c>
    </row>
    <row r="363" spans="1:15" x14ac:dyDescent="0.3">
      <c r="A363">
        <v>1362</v>
      </c>
      <c r="B363">
        <v>15</v>
      </c>
      <c r="C363">
        <v>1</v>
      </c>
      <c r="D363">
        <v>0</v>
      </c>
      <c r="E363">
        <v>3</v>
      </c>
      <c r="F363">
        <v>7.0195124785218201</v>
      </c>
      <c r="G363">
        <v>9</v>
      </c>
      <c r="H363">
        <v>0</v>
      </c>
      <c r="I363">
        <v>1</v>
      </c>
      <c r="J363">
        <v>1</v>
      </c>
      <c r="K363">
        <v>0</v>
      </c>
      <c r="L363">
        <v>0</v>
      </c>
      <c r="M363">
        <v>1</v>
      </c>
      <c r="N363">
        <v>2.00462731700748</v>
      </c>
      <c r="O363">
        <v>3</v>
      </c>
    </row>
    <row r="364" spans="1:15" x14ac:dyDescent="0.3">
      <c r="A364">
        <v>1363</v>
      </c>
      <c r="B364">
        <v>15</v>
      </c>
      <c r="C364">
        <v>1</v>
      </c>
      <c r="D364">
        <v>3</v>
      </c>
      <c r="E364">
        <v>2</v>
      </c>
      <c r="F364">
        <v>8.0930748329710003</v>
      </c>
      <c r="G364">
        <v>29</v>
      </c>
      <c r="H364">
        <v>1</v>
      </c>
      <c r="I364">
        <v>0</v>
      </c>
      <c r="J364">
        <v>0</v>
      </c>
      <c r="K364">
        <v>0</v>
      </c>
      <c r="L364">
        <v>0</v>
      </c>
      <c r="M364">
        <v>0</v>
      </c>
      <c r="N364">
        <v>0.71574204554467402</v>
      </c>
      <c r="O364">
        <v>4</v>
      </c>
    </row>
    <row r="365" spans="1:15" x14ac:dyDescent="0.3">
      <c r="A365">
        <v>1364</v>
      </c>
      <c r="B365">
        <v>16</v>
      </c>
      <c r="C365">
        <v>0</v>
      </c>
      <c r="D365">
        <v>0</v>
      </c>
      <c r="E365">
        <v>3</v>
      </c>
      <c r="F365">
        <v>7.8736377198122502</v>
      </c>
      <c r="G365">
        <v>0</v>
      </c>
      <c r="H365">
        <v>1</v>
      </c>
      <c r="I365">
        <v>4</v>
      </c>
      <c r="J365">
        <v>0</v>
      </c>
      <c r="K365">
        <v>0</v>
      </c>
      <c r="L365">
        <v>1</v>
      </c>
      <c r="M365">
        <v>0</v>
      </c>
      <c r="N365">
        <v>3.8806400848697402</v>
      </c>
      <c r="O365">
        <v>0</v>
      </c>
    </row>
    <row r="366" spans="1:15" x14ac:dyDescent="0.3">
      <c r="A366">
        <v>1365</v>
      </c>
      <c r="B366">
        <v>17</v>
      </c>
      <c r="C366">
        <v>0</v>
      </c>
      <c r="D366">
        <v>0</v>
      </c>
      <c r="E366">
        <v>2</v>
      </c>
      <c r="F366">
        <v>3.8374636880900299</v>
      </c>
      <c r="G366">
        <v>16</v>
      </c>
      <c r="H366">
        <v>0</v>
      </c>
      <c r="I366">
        <v>3</v>
      </c>
      <c r="J366">
        <v>1</v>
      </c>
      <c r="K366">
        <v>0</v>
      </c>
      <c r="L366">
        <v>1</v>
      </c>
      <c r="M366">
        <v>0</v>
      </c>
      <c r="N366">
        <v>1.6895281584189401</v>
      </c>
      <c r="O366">
        <v>4</v>
      </c>
    </row>
    <row r="367" spans="1:15" x14ac:dyDescent="0.3">
      <c r="A367">
        <v>1366</v>
      </c>
      <c r="B367">
        <v>17</v>
      </c>
      <c r="C367">
        <v>1</v>
      </c>
      <c r="D367">
        <v>2</v>
      </c>
      <c r="E367">
        <v>1</v>
      </c>
      <c r="F367">
        <v>1.22433316287144</v>
      </c>
      <c r="G367">
        <v>15</v>
      </c>
      <c r="H367">
        <v>0</v>
      </c>
      <c r="I367">
        <v>4</v>
      </c>
      <c r="J367">
        <v>1</v>
      </c>
      <c r="K367">
        <v>1</v>
      </c>
      <c r="L367">
        <v>0</v>
      </c>
      <c r="M367">
        <v>1</v>
      </c>
      <c r="N367">
        <v>1.7579788035014201</v>
      </c>
      <c r="O367">
        <v>4</v>
      </c>
    </row>
    <row r="368" spans="1:15" x14ac:dyDescent="0.3">
      <c r="A368">
        <v>1367</v>
      </c>
      <c r="B368">
        <v>16</v>
      </c>
      <c r="C368">
        <v>1</v>
      </c>
      <c r="D368">
        <v>2</v>
      </c>
      <c r="E368">
        <v>1</v>
      </c>
      <c r="F368">
        <v>11.8183218565445</v>
      </c>
      <c r="G368">
        <v>8</v>
      </c>
      <c r="H368">
        <v>0</v>
      </c>
      <c r="I368">
        <v>0</v>
      </c>
      <c r="J368">
        <v>0</v>
      </c>
      <c r="K368">
        <v>0</v>
      </c>
      <c r="L368">
        <v>0</v>
      </c>
      <c r="M368">
        <v>0</v>
      </c>
      <c r="N368">
        <v>2.13639954624038</v>
      </c>
      <c r="O368">
        <v>3</v>
      </c>
    </row>
    <row r="369" spans="1:15" x14ac:dyDescent="0.3">
      <c r="A369">
        <v>1368</v>
      </c>
      <c r="B369">
        <v>16</v>
      </c>
      <c r="C369">
        <v>0</v>
      </c>
      <c r="D369">
        <v>0</v>
      </c>
      <c r="E369">
        <v>1</v>
      </c>
      <c r="F369">
        <v>19.784333668411701</v>
      </c>
      <c r="G369">
        <v>24</v>
      </c>
      <c r="H369">
        <v>1</v>
      </c>
      <c r="I369">
        <v>1</v>
      </c>
      <c r="J369">
        <v>0</v>
      </c>
      <c r="K369">
        <v>1</v>
      </c>
      <c r="L369">
        <v>0</v>
      </c>
      <c r="M369">
        <v>0</v>
      </c>
      <c r="N369">
        <v>0.91156827064668799</v>
      </c>
      <c r="O369">
        <v>4</v>
      </c>
    </row>
    <row r="370" spans="1:15" x14ac:dyDescent="0.3">
      <c r="A370">
        <v>1369</v>
      </c>
      <c r="B370">
        <v>17</v>
      </c>
      <c r="C370">
        <v>1</v>
      </c>
      <c r="D370">
        <v>0</v>
      </c>
      <c r="E370">
        <v>3</v>
      </c>
      <c r="F370">
        <v>3.3365940990052501</v>
      </c>
      <c r="G370">
        <v>20</v>
      </c>
      <c r="H370">
        <v>1</v>
      </c>
      <c r="I370">
        <v>1</v>
      </c>
      <c r="J370">
        <v>0</v>
      </c>
      <c r="K370">
        <v>0</v>
      </c>
      <c r="L370">
        <v>0</v>
      </c>
      <c r="M370">
        <v>0</v>
      </c>
      <c r="N370">
        <v>1.1378011102056</v>
      </c>
      <c r="O370">
        <v>4</v>
      </c>
    </row>
    <row r="371" spans="1:15" x14ac:dyDescent="0.3">
      <c r="A371">
        <v>1370</v>
      </c>
      <c r="B371">
        <v>17</v>
      </c>
      <c r="C371">
        <v>0</v>
      </c>
      <c r="D371">
        <v>0</v>
      </c>
      <c r="E371">
        <v>2</v>
      </c>
      <c r="F371">
        <v>0.93369639798547499</v>
      </c>
      <c r="G371">
        <v>8</v>
      </c>
      <c r="H371">
        <v>1</v>
      </c>
      <c r="I371">
        <v>3</v>
      </c>
      <c r="J371">
        <v>1</v>
      </c>
      <c r="K371">
        <v>0</v>
      </c>
      <c r="L371">
        <v>0</v>
      </c>
      <c r="M371">
        <v>1</v>
      </c>
      <c r="N371">
        <v>2.34926492736688</v>
      </c>
      <c r="O371">
        <v>3</v>
      </c>
    </row>
    <row r="372" spans="1:15" x14ac:dyDescent="0.3">
      <c r="A372">
        <v>1371</v>
      </c>
      <c r="B372">
        <v>18</v>
      </c>
      <c r="C372">
        <v>0</v>
      </c>
      <c r="D372">
        <v>1</v>
      </c>
      <c r="E372">
        <v>2</v>
      </c>
      <c r="F372">
        <v>15.5906336364786</v>
      </c>
      <c r="G372">
        <v>26</v>
      </c>
      <c r="H372">
        <v>0</v>
      </c>
      <c r="I372">
        <v>3</v>
      </c>
      <c r="J372">
        <v>0</v>
      </c>
      <c r="K372">
        <v>0</v>
      </c>
      <c r="L372">
        <v>0</v>
      </c>
      <c r="M372">
        <v>0</v>
      </c>
      <c r="N372">
        <v>0.62374743654728704</v>
      </c>
      <c r="O372">
        <v>4</v>
      </c>
    </row>
    <row r="373" spans="1:15" x14ac:dyDescent="0.3">
      <c r="A373">
        <v>1372</v>
      </c>
      <c r="B373">
        <v>18</v>
      </c>
      <c r="C373">
        <v>0</v>
      </c>
      <c r="D373">
        <v>0</v>
      </c>
      <c r="E373">
        <v>1</v>
      </c>
      <c r="F373">
        <v>5.0517201336944799</v>
      </c>
      <c r="G373">
        <v>22</v>
      </c>
      <c r="H373">
        <v>0</v>
      </c>
      <c r="I373">
        <v>2</v>
      </c>
      <c r="J373">
        <v>0</v>
      </c>
      <c r="K373">
        <v>0</v>
      </c>
      <c r="L373">
        <v>1</v>
      </c>
      <c r="M373">
        <v>0</v>
      </c>
      <c r="N373">
        <v>0.34102944592512602</v>
      </c>
      <c r="O373">
        <v>4</v>
      </c>
    </row>
    <row r="374" spans="1:15" x14ac:dyDescent="0.3">
      <c r="A374">
        <v>1373</v>
      </c>
      <c r="B374">
        <v>16</v>
      </c>
      <c r="C374">
        <v>0</v>
      </c>
      <c r="D374">
        <v>0</v>
      </c>
      <c r="E374">
        <v>1</v>
      </c>
      <c r="F374">
        <v>16.592876107058501</v>
      </c>
      <c r="G374">
        <v>8</v>
      </c>
      <c r="H374">
        <v>0</v>
      </c>
      <c r="I374">
        <v>0</v>
      </c>
      <c r="J374">
        <v>0</v>
      </c>
      <c r="K374">
        <v>0</v>
      </c>
      <c r="L374">
        <v>0</v>
      </c>
      <c r="M374">
        <v>0</v>
      </c>
      <c r="N374">
        <v>2.2238136667516901</v>
      </c>
      <c r="O374">
        <v>3</v>
      </c>
    </row>
    <row r="375" spans="1:15" x14ac:dyDescent="0.3">
      <c r="A375">
        <v>1374</v>
      </c>
      <c r="B375">
        <v>18</v>
      </c>
      <c r="C375">
        <v>1</v>
      </c>
      <c r="D375">
        <v>3</v>
      </c>
      <c r="E375">
        <v>2</v>
      </c>
      <c r="F375">
        <v>14.078733340690301</v>
      </c>
      <c r="G375">
        <v>11</v>
      </c>
      <c r="H375">
        <v>0</v>
      </c>
      <c r="I375">
        <v>3</v>
      </c>
      <c r="J375">
        <v>0</v>
      </c>
      <c r="K375">
        <v>0</v>
      </c>
      <c r="L375">
        <v>0</v>
      </c>
      <c r="M375">
        <v>1</v>
      </c>
      <c r="N375">
        <v>2.32824038463015</v>
      </c>
      <c r="O375">
        <v>3</v>
      </c>
    </row>
    <row r="376" spans="1:15" x14ac:dyDescent="0.3">
      <c r="A376">
        <v>1375</v>
      </c>
      <c r="B376">
        <v>15</v>
      </c>
      <c r="C376">
        <v>1</v>
      </c>
      <c r="D376">
        <v>1</v>
      </c>
      <c r="E376">
        <v>2</v>
      </c>
      <c r="F376">
        <v>18.913470741015999</v>
      </c>
      <c r="G376">
        <v>22</v>
      </c>
      <c r="H376">
        <v>1</v>
      </c>
      <c r="I376">
        <v>2</v>
      </c>
      <c r="J376">
        <v>1</v>
      </c>
      <c r="K376">
        <v>0</v>
      </c>
      <c r="L376">
        <v>0</v>
      </c>
      <c r="M376">
        <v>0</v>
      </c>
      <c r="N376">
        <v>1.62307782200885</v>
      </c>
      <c r="O376">
        <v>4</v>
      </c>
    </row>
    <row r="377" spans="1:15" x14ac:dyDescent="0.3">
      <c r="A377">
        <v>1376</v>
      </c>
      <c r="B377">
        <v>18</v>
      </c>
      <c r="C377">
        <v>0</v>
      </c>
      <c r="D377">
        <v>0</v>
      </c>
      <c r="E377">
        <v>1</v>
      </c>
      <c r="F377">
        <v>8.1785447151334392</v>
      </c>
      <c r="G377">
        <v>8</v>
      </c>
      <c r="H377">
        <v>1</v>
      </c>
      <c r="I377">
        <v>1</v>
      </c>
      <c r="J377">
        <v>1</v>
      </c>
      <c r="K377">
        <v>0</v>
      </c>
      <c r="L377">
        <v>0</v>
      </c>
      <c r="M377">
        <v>0</v>
      </c>
      <c r="N377">
        <v>2.2008963215285902</v>
      </c>
      <c r="O377">
        <v>3</v>
      </c>
    </row>
    <row r="378" spans="1:15" x14ac:dyDescent="0.3">
      <c r="A378">
        <v>1377</v>
      </c>
      <c r="B378">
        <v>18</v>
      </c>
      <c r="C378">
        <v>0</v>
      </c>
      <c r="D378">
        <v>1</v>
      </c>
      <c r="E378">
        <v>2</v>
      </c>
      <c r="F378">
        <v>13.2393967890126</v>
      </c>
      <c r="G378">
        <v>14</v>
      </c>
      <c r="H378">
        <v>0</v>
      </c>
      <c r="I378">
        <v>4</v>
      </c>
      <c r="J378">
        <v>0</v>
      </c>
      <c r="K378">
        <v>1</v>
      </c>
      <c r="L378">
        <v>0</v>
      </c>
      <c r="M378">
        <v>0</v>
      </c>
      <c r="N378">
        <v>2.58411065506386</v>
      </c>
      <c r="O378">
        <v>2</v>
      </c>
    </row>
    <row r="379" spans="1:15" x14ac:dyDescent="0.3">
      <c r="A379">
        <v>1378</v>
      </c>
      <c r="B379">
        <v>15</v>
      </c>
      <c r="C379">
        <v>0</v>
      </c>
      <c r="D379">
        <v>1</v>
      </c>
      <c r="E379">
        <v>0</v>
      </c>
      <c r="F379">
        <v>9.2970956162654108</v>
      </c>
      <c r="G379">
        <v>1</v>
      </c>
      <c r="H379">
        <v>0</v>
      </c>
      <c r="I379">
        <v>1</v>
      </c>
      <c r="J379">
        <v>1</v>
      </c>
      <c r="K379">
        <v>0</v>
      </c>
      <c r="L379">
        <v>0</v>
      </c>
      <c r="M379">
        <v>0</v>
      </c>
      <c r="N379">
        <v>2.9965033042477001</v>
      </c>
      <c r="O379">
        <v>2</v>
      </c>
    </row>
    <row r="380" spans="1:15" x14ac:dyDescent="0.3">
      <c r="A380">
        <v>1379</v>
      </c>
      <c r="B380">
        <v>16</v>
      </c>
      <c r="C380">
        <v>0</v>
      </c>
      <c r="D380">
        <v>0</v>
      </c>
      <c r="E380">
        <v>1</v>
      </c>
      <c r="F380">
        <v>12.6117739461708</v>
      </c>
      <c r="G380">
        <v>10</v>
      </c>
      <c r="H380">
        <v>0</v>
      </c>
      <c r="I380">
        <v>3</v>
      </c>
      <c r="J380">
        <v>0</v>
      </c>
      <c r="K380">
        <v>0</v>
      </c>
      <c r="L380">
        <v>1</v>
      </c>
      <c r="M380">
        <v>0</v>
      </c>
      <c r="N380">
        <v>2.3739934814358401</v>
      </c>
      <c r="O380">
        <v>3</v>
      </c>
    </row>
    <row r="381" spans="1:15" x14ac:dyDescent="0.3">
      <c r="A381">
        <v>1380</v>
      </c>
      <c r="B381">
        <v>15</v>
      </c>
      <c r="C381">
        <v>0</v>
      </c>
      <c r="D381">
        <v>0</v>
      </c>
      <c r="E381">
        <v>2</v>
      </c>
      <c r="F381">
        <v>8.9919781201547409</v>
      </c>
      <c r="G381">
        <v>10</v>
      </c>
      <c r="H381">
        <v>1</v>
      </c>
      <c r="I381">
        <v>3</v>
      </c>
      <c r="J381">
        <v>1</v>
      </c>
      <c r="K381">
        <v>0</v>
      </c>
      <c r="L381">
        <v>0</v>
      </c>
      <c r="M381">
        <v>0</v>
      </c>
      <c r="N381">
        <v>2.83040445570954</v>
      </c>
      <c r="O381">
        <v>2</v>
      </c>
    </row>
    <row r="382" spans="1:15" x14ac:dyDescent="0.3">
      <c r="A382">
        <v>1381</v>
      </c>
      <c r="B382">
        <v>18</v>
      </c>
      <c r="C382">
        <v>1</v>
      </c>
      <c r="D382">
        <v>2</v>
      </c>
      <c r="E382">
        <v>1</v>
      </c>
      <c r="F382">
        <v>3.77264492848149</v>
      </c>
      <c r="G382">
        <v>7</v>
      </c>
      <c r="H382">
        <v>0</v>
      </c>
      <c r="I382">
        <v>2</v>
      </c>
      <c r="J382">
        <v>1</v>
      </c>
      <c r="K382">
        <v>1</v>
      </c>
      <c r="L382">
        <v>0</v>
      </c>
      <c r="M382">
        <v>1</v>
      </c>
      <c r="N382">
        <v>2.5251155338354798</v>
      </c>
      <c r="O382">
        <v>2</v>
      </c>
    </row>
    <row r="383" spans="1:15" x14ac:dyDescent="0.3">
      <c r="A383">
        <v>1382</v>
      </c>
      <c r="B383">
        <v>16</v>
      </c>
      <c r="C383">
        <v>1</v>
      </c>
      <c r="D383">
        <v>0</v>
      </c>
      <c r="E383">
        <v>4</v>
      </c>
      <c r="F383">
        <v>10.1579483200676</v>
      </c>
      <c r="G383">
        <v>22</v>
      </c>
      <c r="H383">
        <v>0</v>
      </c>
      <c r="I383">
        <v>1</v>
      </c>
      <c r="J383">
        <v>1</v>
      </c>
      <c r="K383">
        <v>0</v>
      </c>
      <c r="L383">
        <v>0</v>
      </c>
      <c r="M383">
        <v>0</v>
      </c>
      <c r="N383">
        <v>1.0429816505882701</v>
      </c>
      <c r="O383">
        <v>4</v>
      </c>
    </row>
    <row r="384" spans="1:15" x14ac:dyDescent="0.3">
      <c r="A384">
        <v>1383</v>
      </c>
      <c r="B384">
        <v>18</v>
      </c>
      <c r="C384">
        <v>1</v>
      </c>
      <c r="D384">
        <v>1</v>
      </c>
      <c r="E384">
        <v>1</v>
      </c>
      <c r="F384">
        <v>10.5716840287488</v>
      </c>
      <c r="G384">
        <v>5</v>
      </c>
      <c r="H384">
        <v>0</v>
      </c>
      <c r="I384">
        <v>2</v>
      </c>
      <c r="J384">
        <v>1</v>
      </c>
      <c r="K384">
        <v>0</v>
      </c>
      <c r="L384">
        <v>0</v>
      </c>
      <c r="M384">
        <v>1</v>
      </c>
      <c r="N384">
        <v>2.6610969036702099</v>
      </c>
      <c r="O384">
        <v>2</v>
      </c>
    </row>
    <row r="385" spans="1:15" x14ac:dyDescent="0.3">
      <c r="A385">
        <v>1384</v>
      </c>
      <c r="B385">
        <v>15</v>
      </c>
      <c r="C385">
        <v>1</v>
      </c>
      <c r="D385">
        <v>0</v>
      </c>
      <c r="E385">
        <v>1</v>
      </c>
      <c r="F385">
        <v>16.212076965203199</v>
      </c>
      <c r="G385">
        <v>20</v>
      </c>
      <c r="H385">
        <v>0</v>
      </c>
      <c r="I385">
        <v>3</v>
      </c>
      <c r="J385">
        <v>0</v>
      </c>
      <c r="K385">
        <v>0</v>
      </c>
      <c r="L385">
        <v>0</v>
      </c>
      <c r="M385">
        <v>0</v>
      </c>
      <c r="N385">
        <v>1.59959388772805</v>
      </c>
      <c r="O385">
        <v>4</v>
      </c>
    </row>
    <row r="386" spans="1:15" x14ac:dyDescent="0.3">
      <c r="A386">
        <v>1385</v>
      </c>
      <c r="B386">
        <v>15</v>
      </c>
      <c r="C386">
        <v>0</v>
      </c>
      <c r="D386">
        <v>0</v>
      </c>
      <c r="E386">
        <v>1</v>
      </c>
      <c r="F386">
        <v>14.7104141158716</v>
      </c>
      <c r="G386">
        <v>19</v>
      </c>
      <c r="H386">
        <v>1</v>
      </c>
      <c r="I386">
        <v>1</v>
      </c>
      <c r="J386">
        <v>1</v>
      </c>
      <c r="K386">
        <v>0</v>
      </c>
      <c r="L386">
        <v>0</v>
      </c>
      <c r="M386">
        <v>0</v>
      </c>
      <c r="N386">
        <v>1.7994091491724999</v>
      </c>
      <c r="O386">
        <v>4</v>
      </c>
    </row>
    <row r="387" spans="1:15" x14ac:dyDescent="0.3">
      <c r="A387">
        <v>1386</v>
      </c>
      <c r="B387">
        <v>18</v>
      </c>
      <c r="C387">
        <v>0</v>
      </c>
      <c r="D387">
        <v>0</v>
      </c>
      <c r="E387">
        <v>2</v>
      </c>
      <c r="F387">
        <v>13.2758324788288</v>
      </c>
      <c r="G387">
        <v>6</v>
      </c>
      <c r="H387">
        <v>0</v>
      </c>
      <c r="I387">
        <v>3</v>
      </c>
      <c r="J387">
        <v>0</v>
      </c>
      <c r="K387">
        <v>0</v>
      </c>
      <c r="L387">
        <v>0</v>
      </c>
      <c r="M387">
        <v>0</v>
      </c>
      <c r="N387">
        <v>2.6576385566959999</v>
      </c>
      <c r="O387">
        <v>2</v>
      </c>
    </row>
    <row r="388" spans="1:15" x14ac:dyDescent="0.3">
      <c r="A388">
        <v>1387</v>
      </c>
      <c r="B388">
        <v>17</v>
      </c>
      <c r="C388">
        <v>0</v>
      </c>
      <c r="D388">
        <v>0</v>
      </c>
      <c r="E388">
        <v>2</v>
      </c>
      <c r="F388">
        <v>2.2677419110514498</v>
      </c>
      <c r="G388">
        <v>2</v>
      </c>
      <c r="H388">
        <v>0</v>
      </c>
      <c r="I388">
        <v>4</v>
      </c>
      <c r="J388">
        <v>0</v>
      </c>
      <c r="K388">
        <v>0</v>
      </c>
      <c r="L388">
        <v>0</v>
      </c>
      <c r="M388">
        <v>0</v>
      </c>
      <c r="N388">
        <v>2.9984840618830901</v>
      </c>
      <c r="O388">
        <v>2</v>
      </c>
    </row>
    <row r="389" spans="1:15" x14ac:dyDescent="0.3">
      <c r="A389">
        <v>1388</v>
      </c>
      <c r="B389">
        <v>17</v>
      </c>
      <c r="C389">
        <v>0</v>
      </c>
      <c r="D389">
        <v>0</v>
      </c>
      <c r="E389">
        <v>2</v>
      </c>
      <c r="F389">
        <v>14.4123258132743</v>
      </c>
      <c r="G389">
        <v>7</v>
      </c>
      <c r="H389">
        <v>0</v>
      </c>
      <c r="I389">
        <v>4</v>
      </c>
      <c r="J389">
        <v>0</v>
      </c>
      <c r="K389">
        <v>0</v>
      </c>
      <c r="L389">
        <v>1</v>
      </c>
      <c r="M389">
        <v>0</v>
      </c>
      <c r="N389">
        <v>2.97740843289268</v>
      </c>
      <c r="O389">
        <v>2</v>
      </c>
    </row>
    <row r="390" spans="1:15" x14ac:dyDescent="0.3">
      <c r="A390">
        <v>1389</v>
      </c>
      <c r="B390">
        <v>15</v>
      </c>
      <c r="C390">
        <v>0</v>
      </c>
      <c r="D390">
        <v>0</v>
      </c>
      <c r="E390">
        <v>0</v>
      </c>
      <c r="F390">
        <v>10.006103127090199</v>
      </c>
      <c r="G390">
        <v>17</v>
      </c>
      <c r="H390">
        <v>0</v>
      </c>
      <c r="I390">
        <v>2</v>
      </c>
      <c r="J390">
        <v>0</v>
      </c>
      <c r="K390">
        <v>0</v>
      </c>
      <c r="L390">
        <v>0</v>
      </c>
      <c r="M390">
        <v>0</v>
      </c>
      <c r="N390">
        <v>1.3751641369478</v>
      </c>
      <c r="O390">
        <v>4</v>
      </c>
    </row>
    <row r="391" spans="1:15" x14ac:dyDescent="0.3">
      <c r="A391">
        <v>1390</v>
      </c>
      <c r="B391">
        <v>15</v>
      </c>
      <c r="C391">
        <v>1</v>
      </c>
      <c r="D391">
        <v>2</v>
      </c>
      <c r="E391">
        <v>0</v>
      </c>
      <c r="F391">
        <v>17.881990722123099</v>
      </c>
      <c r="G391">
        <v>16</v>
      </c>
      <c r="H391">
        <v>0</v>
      </c>
      <c r="I391">
        <v>3</v>
      </c>
      <c r="J391">
        <v>1</v>
      </c>
      <c r="K391">
        <v>0</v>
      </c>
      <c r="L391">
        <v>0</v>
      </c>
      <c r="M391">
        <v>1</v>
      </c>
      <c r="N391">
        <v>1.84886644019123</v>
      </c>
      <c r="O391">
        <v>4</v>
      </c>
    </row>
    <row r="392" spans="1:15" x14ac:dyDescent="0.3">
      <c r="A392">
        <v>1391</v>
      </c>
      <c r="B392">
        <v>17</v>
      </c>
      <c r="C392">
        <v>0</v>
      </c>
      <c r="D392">
        <v>3</v>
      </c>
      <c r="E392">
        <v>2</v>
      </c>
      <c r="F392">
        <v>18.397418682610802</v>
      </c>
      <c r="G392">
        <v>10</v>
      </c>
      <c r="H392">
        <v>0</v>
      </c>
      <c r="I392">
        <v>4</v>
      </c>
      <c r="J392">
        <v>0</v>
      </c>
      <c r="K392">
        <v>0</v>
      </c>
      <c r="L392">
        <v>0</v>
      </c>
      <c r="M392">
        <v>0</v>
      </c>
      <c r="N392">
        <v>2.44245620012927</v>
      </c>
      <c r="O392">
        <v>3</v>
      </c>
    </row>
    <row r="393" spans="1:15" x14ac:dyDescent="0.3">
      <c r="A393">
        <v>1392</v>
      </c>
      <c r="B393">
        <v>17</v>
      </c>
      <c r="C393">
        <v>1</v>
      </c>
      <c r="D393">
        <v>2</v>
      </c>
      <c r="E393">
        <v>3</v>
      </c>
      <c r="F393">
        <v>1.1031318120357001</v>
      </c>
      <c r="G393">
        <v>1</v>
      </c>
      <c r="H393">
        <v>0</v>
      </c>
      <c r="I393">
        <v>2</v>
      </c>
      <c r="J393">
        <v>1</v>
      </c>
      <c r="K393">
        <v>0</v>
      </c>
      <c r="L393">
        <v>0</v>
      </c>
      <c r="M393">
        <v>0</v>
      </c>
      <c r="N393">
        <v>2.8560385143532101</v>
      </c>
      <c r="O393">
        <v>2</v>
      </c>
    </row>
    <row r="394" spans="1:15" x14ac:dyDescent="0.3">
      <c r="A394">
        <v>1393</v>
      </c>
      <c r="B394">
        <v>18</v>
      </c>
      <c r="C394">
        <v>1</v>
      </c>
      <c r="D394">
        <v>2</v>
      </c>
      <c r="E394">
        <v>3</v>
      </c>
      <c r="F394">
        <v>16.4128312070895</v>
      </c>
      <c r="G394">
        <v>24</v>
      </c>
      <c r="H394">
        <v>1</v>
      </c>
      <c r="I394">
        <v>1</v>
      </c>
      <c r="J394">
        <v>1</v>
      </c>
      <c r="K394">
        <v>0</v>
      </c>
      <c r="L394">
        <v>0</v>
      </c>
      <c r="M394">
        <v>0</v>
      </c>
      <c r="N394">
        <v>1.2061502302550899</v>
      </c>
      <c r="O394">
        <v>4</v>
      </c>
    </row>
    <row r="395" spans="1:15" x14ac:dyDescent="0.3">
      <c r="A395">
        <v>1394</v>
      </c>
      <c r="B395">
        <v>18</v>
      </c>
      <c r="C395">
        <v>1</v>
      </c>
      <c r="D395">
        <v>0</v>
      </c>
      <c r="E395">
        <v>0</v>
      </c>
      <c r="F395">
        <v>0.75394780845341203</v>
      </c>
      <c r="G395">
        <v>20</v>
      </c>
      <c r="H395">
        <v>0</v>
      </c>
      <c r="I395">
        <v>1</v>
      </c>
      <c r="J395">
        <v>1</v>
      </c>
      <c r="K395">
        <v>1</v>
      </c>
      <c r="L395">
        <v>0</v>
      </c>
      <c r="M395">
        <v>0</v>
      </c>
      <c r="N395">
        <v>0.89590299039907695</v>
      </c>
      <c r="O395">
        <v>4</v>
      </c>
    </row>
    <row r="396" spans="1:15" x14ac:dyDescent="0.3">
      <c r="A396">
        <v>1395</v>
      </c>
      <c r="B396">
        <v>17</v>
      </c>
      <c r="C396">
        <v>1</v>
      </c>
      <c r="D396">
        <v>3</v>
      </c>
      <c r="E396">
        <v>2</v>
      </c>
      <c r="F396">
        <v>7.3433925139004499</v>
      </c>
      <c r="G396">
        <v>26</v>
      </c>
      <c r="H396">
        <v>0</v>
      </c>
      <c r="I396">
        <v>1</v>
      </c>
      <c r="J396">
        <v>0</v>
      </c>
      <c r="K396">
        <v>0</v>
      </c>
      <c r="L396">
        <v>0</v>
      </c>
      <c r="M396">
        <v>0</v>
      </c>
      <c r="N396">
        <v>0.27319092915834198</v>
      </c>
      <c r="O396">
        <v>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3A3A0F-4756-40CD-A0B1-C134EC13F14B}">
  <dimension ref="A1:U396"/>
  <sheetViews>
    <sheetView zoomScale="80" zoomScaleNormal="80" workbookViewId="0">
      <selection activeCell="Q2" sqref="Q2"/>
    </sheetView>
  </sheetViews>
  <sheetFormatPr defaultRowHeight="14.4" x14ac:dyDescent="0.3"/>
  <cols>
    <col min="1" max="1" width="13.77734375" bestFit="1" customWidth="1"/>
    <col min="2" max="2" width="8.44140625" bestFit="1" customWidth="1"/>
    <col min="3" max="3" width="16.21875" bestFit="1" customWidth="1"/>
    <col min="4" max="4" width="11.5546875" bestFit="1" customWidth="1"/>
    <col min="5" max="5" width="12.77734375" bestFit="1" customWidth="1"/>
    <col min="6" max="6" width="20.88671875" bestFit="1" customWidth="1"/>
    <col min="7" max="7" width="10.88671875" customWidth="1"/>
    <col min="8" max="8" width="9.5546875" customWidth="1"/>
    <col min="9" max="9" width="12.109375" bestFit="1" customWidth="1"/>
    <col min="10" max="10" width="19.21875" bestFit="1" customWidth="1"/>
    <col min="11" max="11" width="8.33203125" customWidth="1"/>
    <col min="12" max="12" width="7.77734375" customWidth="1"/>
    <col min="13" max="13" width="13.33203125" customWidth="1"/>
    <col min="14" max="14" width="12" bestFit="1" customWidth="1"/>
    <col min="15" max="15" width="12.5546875" customWidth="1"/>
    <col min="16" max="16" width="15.109375" bestFit="1" customWidth="1"/>
    <col min="17" max="17" width="10.5546875" bestFit="1" customWidth="1"/>
    <col min="20" max="20" width="17.44140625" bestFit="1" customWidth="1"/>
  </cols>
  <sheetData>
    <row r="1" spans="1:21" x14ac:dyDescent="0.3">
      <c r="A1" s="1" t="s">
        <v>3</v>
      </c>
      <c r="B1" s="1" t="s">
        <v>4</v>
      </c>
      <c r="C1" s="1" t="s">
        <v>18</v>
      </c>
      <c r="D1" s="1" t="s">
        <v>5</v>
      </c>
      <c r="E1" s="1" t="s">
        <v>6</v>
      </c>
      <c r="F1" s="1" t="s">
        <v>7</v>
      </c>
      <c r="G1" s="1" t="s">
        <v>8</v>
      </c>
      <c r="H1" s="1" t="s">
        <v>9</v>
      </c>
      <c r="I1" s="1" t="s">
        <v>10</v>
      </c>
      <c r="J1" s="1" t="s">
        <v>11</v>
      </c>
      <c r="K1" s="1" t="s">
        <v>12</v>
      </c>
      <c r="L1" s="1" t="s">
        <v>13</v>
      </c>
      <c r="M1" s="1" t="s">
        <v>14</v>
      </c>
      <c r="N1" s="1" t="s">
        <v>15</v>
      </c>
      <c r="O1" s="1" t="s">
        <v>16</v>
      </c>
      <c r="P1" s="1" t="s">
        <v>17</v>
      </c>
      <c r="Q1" s="1" t="s">
        <v>20</v>
      </c>
    </row>
    <row r="2" spans="1:21" x14ac:dyDescent="0.3">
      <c r="A2" s="1">
        <v>1001</v>
      </c>
      <c r="B2" s="1">
        <v>17</v>
      </c>
      <c r="C2" s="1">
        <v>1</v>
      </c>
      <c r="D2" s="1" t="str">
        <f>IF(Table2[[#This Row],[Gender Code]]=1,"Male","Female")</f>
        <v>Male</v>
      </c>
      <c r="E2" s="1">
        <v>0</v>
      </c>
      <c r="F2" s="1">
        <v>2</v>
      </c>
      <c r="G2" s="2">
        <v>19.833722807854699</v>
      </c>
      <c r="H2" s="1">
        <v>7</v>
      </c>
      <c r="I2" s="1">
        <v>1</v>
      </c>
      <c r="J2" s="1">
        <v>2</v>
      </c>
      <c r="K2" s="1">
        <v>0</v>
      </c>
      <c r="L2" s="1">
        <v>0</v>
      </c>
      <c r="M2" s="1">
        <v>1</v>
      </c>
      <c r="N2" s="1">
        <v>0</v>
      </c>
      <c r="O2" s="3">
        <v>2.9291955916676802</v>
      </c>
      <c r="P2" s="1">
        <v>2</v>
      </c>
      <c r="Q2" s="1" t="str">
        <f>IF(Table2[[#This Row],[GradeClass]]=4,"A",IF(Table2[[#This Row],[GradeClass]]=3,"B",IF(Table2[[#This Row],[GradeClass]]=2,"C",IF(Table2[[#This Row],[GradeClass]]=1,"D","F"))))</f>
        <v>C</v>
      </c>
    </row>
    <row r="3" spans="1:21" x14ac:dyDescent="0.3">
      <c r="A3" s="1">
        <v>1002</v>
      </c>
      <c r="B3" s="1">
        <v>18</v>
      </c>
      <c r="C3" s="1">
        <v>0</v>
      </c>
      <c r="D3" s="1" t="str">
        <f>IF(Table2[[#This Row],[Gender Code]]=1,"Male","Female")</f>
        <v>Female</v>
      </c>
      <c r="E3" s="1">
        <v>0</v>
      </c>
      <c r="F3" s="1">
        <v>1</v>
      </c>
      <c r="G3" s="2">
        <v>15.4087560558467</v>
      </c>
      <c r="H3" s="1">
        <v>0</v>
      </c>
      <c r="I3" s="1">
        <v>0</v>
      </c>
      <c r="J3" s="1">
        <v>1</v>
      </c>
      <c r="K3" s="1">
        <v>0</v>
      </c>
      <c r="L3" s="1">
        <v>0</v>
      </c>
      <c r="M3" s="1">
        <v>0</v>
      </c>
      <c r="N3" s="1">
        <v>0</v>
      </c>
      <c r="O3" s="3">
        <v>3.0429148334363698</v>
      </c>
      <c r="P3" s="1">
        <v>1</v>
      </c>
      <c r="Q3" s="1" t="str">
        <f>IF(Table2[[#This Row],[GradeClass]]=4,"A",IF(Table2[[#This Row],[GradeClass]]=3,"B",IF(Table2[[#This Row],[GradeClass]]=2,"C",IF(Table2[[#This Row],[GradeClass]]=1,"D","F"))))</f>
        <v>D</v>
      </c>
    </row>
    <row r="4" spans="1:21" x14ac:dyDescent="0.3">
      <c r="A4" s="1">
        <v>1003</v>
      </c>
      <c r="B4" s="1">
        <v>15</v>
      </c>
      <c r="C4" s="1">
        <v>0</v>
      </c>
      <c r="D4" s="1" t="str">
        <f>IF(Table2[[#This Row],[Gender Code]]=1,"Male","Female")</f>
        <v>Female</v>
      </c>
      <c r="E4" s="1">
        <v>2</v>
      </c>
      <c r="F4" s="1">
        <v>3</v>
      </c>
      <c r="G4" s="2">
        <v>4.2105697688122596</v>
      </c>
      <c r="H4" s="1">
        <v>26</v>
      </c>
      <c r="I4" s="1">
        <v>0</v>
      </c>
      <c r="J4" s="1">
        <v>2</v>
      </c>
      <c r="K4" s="1">
        <v>0</v>
      </c>
      <c r="L4" s="1">
        <v>0</v>
      </c>
      <c r="M4" s="1">
        <v>0</v>
      </c>
      <c r="N4" s="1">
        <v>0</v>
      </c>
      <c r="O4" s="3">
        <v>0.112602254466181</v>
      </c>
      <c r="P4" s="1">
        <v>4</v>
      </c>
      <c r="Q4" s="1" t="str">
        <f>IF(Table2[[#This Row],[GradeClass]]=4,"A",IF(Table2[[#This Row],[GradeClass]]=3,"B",IF(Table2[[#This Row],[GradeClass]]=2,"C",IF(Table2[[#This Row],[GradeClass]]=1,"D","F"))))</f>
        <v>A</v>
      </c>
      <c r="T4" s="4" t="s">
        <v>21</v>
      </c>
      <c r="U4" s="4">
        <f>COUNTBLANK(Table2[])</f>
        <v>0</v>
      </c>
    </row>
    <row r="5" spans="1:21" x14ac:dyDescent="0.3">
      <c r="A5" s="1">
        <v>1004</v>
      </c>
      <c r="B5" s="1">
        <v>17</v>
      </c>
      <c r="C5" s="1">
        <v>1</v>
      </c>
      <c r="D5" s="1" t="str">
        <f>IF(Table2[[#This Row],[Gender Code]]=1,"Male","Female")</f>
        <v>Male</v>
      </c>
      <c r="E5" s="1">
        <v>0</v>
      </c>
      <c r="F5" s="1">
        <v>3</v>
      </c>
      <c r="G5" s="2">
        <v>10.028829473958201</v>
      </c>
      <c r="H5" s="1">
        <v>14</v>
      </c>
      <c r="I5" s="1">
        <v>0</v>
      </c>
      <c r="J5" s="1">
        <v>3</v>
      </c>
      <c r="K5" s="1">
        <v>1</v>
      </c>
      <c r="L5" s="1">
        <v>0</v>
      </c>
      <c r="M5" s="1">
        <v>0</v>
      </c>
      <c r="N5" s="1">
        <v>0</v>
      </c>
      <c r="O5" s="3">
        <v>2.05421813970294</v>
      </c>
      <c r="P5" s="1">
        <v>3</v>
      </c>
      <c r="Q5" s="1" t="str">
        <f>IF(Table2[[#This Row],[GradeClass]]=4,"A",IF(Table2[[#This Row],[GradeClass]]=3,"B",IF(Table2[[#This Row],[GradeClass]]=2,"C",IF(Table2[[#This Row],[GradeClass]]=1,"D","F"))))</f>
        <v>B</v>
      </c>
      <c r="T5" s="4" t="s">
        <v>22</v>
      </c>
      <c r="U5" s="4">
        <v>0</v>
      </c>
    </row>
    <row r="6" spans="1:21" x14ac:dyDescent="0.3">
      <c r="A6" s="1">
        <v>1005</v>
      </c>
      <c r="B6" s="1">
        <v>17</v>
      </c>
      <c r="C6" s="1">
        <v>1</v>
      </c>
      <c r="D6" s="1" t="str">
        <f>IF(Table2[[#This Row],[Gender Code]]=1,"Male","Female")</f>
        <v>Male</v>
      </c>
      <c r="E6" s="1">
        <v>0</v>
      </c>
      <c r="F6" s="1">
        <v>2</v>
      </c>
      <c r="G6" s="2">
        <v>4.6724952729713296</v>
      </c>
      <c r="H6" s="1">
        <v>17</v>
      </c>
      <c r="I6" s="1">
        <v>1</v>
      </c>
      <c r="J6" s="1">
        <v>3</v>
      </c>
      <c r="K6" s="1">
        <v>0</v>
      </c>
      <c r="L6" s="1">
        <v>0</v>
      </c>
      <c r="M6" s="1">
        <v>0</v>
      </c>
      <c r="N6" s="1">
        <v>0</v>
      </c>
      <c r="O6" s="3">
        <v>1.28806118179538</v>
      </c>
      <c r="P6" s="1">
        <v>4</v>
      </c>
      <c r="Q6" s="1" t="str">
        <f>IF(Table2[[#This Row],[GradeClass]]=4,"A",IF(Table2[[#This Row],[GradeClass]]=3,"B",IF(Table2[[#This Row],[GradeClass]]=2,"C",IF(Table2[[#This Row],[GradeClass]]=1,"D","F"))))</f>
        <v>A</v>
      </c>
    </row>
    <row r="7" spans="1:21" x14ac:dyDescent="0.3">
      <c r="A7" s="1">
        <v>1006</v>
      </c>
      <c r="B7" s="1">
        <v>18</v>
      </c>
      <c r="C7" s="1">
        <v>0</v>
      </c>
      <c r="D7" s="1" t="str">
        <f>IF(Table2[[#This Row],[Gender Code]]=1,"Male","Female")</f>
        <v>Female</v>
      </c>
      <c r="E7" s="1">
        <v>0</v>
      </c>
      <c r="F7" s="1">
        <v>1</v>
      </c>
      <c r="G7" s="2">
        <v>8.1912185452501802</v>
      </c>
      <c r="H7" s="1">
        <v>0</v>
      </c>
      <c r="I7" s="1">
        <v>0</v>
      </c>
      <c r="J7" s="1">
        <v>1</v>
      </c>
      <c r="K7" s="1">
        <v>1</v>
      </c>
      <c r="L7" s="1">
        <v>0</v>
      </c>
      <c r="M7" s="1">
        <v>0</v>
      </c>
      <c r="N7" s="1">
        <v>0</v>
      </c>
      <c r="O7" s="3">
        <v>3.0841836144863901</v>
      </c>
      <c r="P7" s="1">
        <v>1</v>
      </c>
      <c r="Q7" s="1" t="str">
        <f>IF(Table2[[#This Row],[GradeClass]]=4,"A",IF(Table2[[#This Row],[GradeClass]]=3,"B",IF(Table2[[#This Row],[GradeClass]]=2,"C",IF(Table2[[#This Row],[GradeClass]]=1,"D","F"))))</f>
        <v>D</v>
      </c>
      <c r="T7" s="4" t="s">
        <v>23</v>
      </c>
      <c r="U7" s="4"/>
    </row>
    <row r="8" spans="1:21" x14ac:dyDescent="0.3">
      <c r="A8" s="1">
        <v>1007</v>
      </c>
      <c r="B8" s="1">
        <v>15</v>
      </c>
      <c r="C8" s="1">
        <v>0</v>
      </c>
      <c r="D8" s="1" t="str">
        <f>IF(Table2[[#This Row],[Gender Code]]=1,"Male","Female")</f>
        <v>Female</v>
      </c>
      <c r="E8" s="1">
        <v>1</v>
      </c>
      <c r="F8" s="1">
        <v>1</v>
      </c>
      <c r="G8" s="2">
        <v>15.601680474699201</v>
      </c>
      <c r="H8" s="1">
        <v>10</v>
      </c>
      <c r="I8" s="1">
        <v>0</v>
      </c>
      <c r="J8" s="1">
        <v>3</v>
      </c>
      <c r="K8" s="1">
        <v>0</v>
      </c>
      <c r="L8" s="1">
        <v>1</v>
      </c>
      <c r="M8" s="1">
        <v>0</v>
      </c>
      <c r="N8" s="1">
        <v>0</v>
      </c>
      <c r="O8" s="3">
        <v>2.7482374148915798</v>
      </c>
      <c r="P8" s="1">
        <v>2</v>
      </c>
      <c r="Q8" s="1" t="str">
        <f>IF(Table2[[#This Row],[GradeClass]]=4,"A",IF(Table2[[#This Row],[GradeClass]]=3,"B",IF(Table2[[#This Row],[GradeClass]]=2,"C",IF(Table2[[#This Row],[GradeClass]]=1,"D","F"))))</f>
        <v>C</v>
      </c>
      <c r="T8" s="4" t="s">
        <v>24</v>
      </c>
      <c r="U8" s="4" t="str">
        <f>VLOOKUP(1010,Table2[#All],17,FALSE)</f>
        <v>F</v>
      </c>
    </row>
    <row r="9" spans="1:21" x14ac:dyDescent="0.3">
      <c r="A9" s="1">
        <v>1008</v>
      </c>
      <c r="B9" s="1">
        <v>15</v>
      </c>
      <c r="C9" s="1">
        <v>1</v>
      </c>
      <c r="D9" s="1" t="str">
        <f>IF(Table2[[#This Row],[Gender Code]]=1,"Male","Female")</f>
        <v>Male</v>
      </c>
      <c r="E9" s="1">
        <v>1</v>
      </c>
      <c r="F9" s="1">
        <v>4</v>
      </c>
      <c r="G9" s="2">
        <v>15.424496305808001</v>
      </c>
      <c r="H9" s="1">
        <v>22</v>
      </c>
      <c r="I9" s="1">
        <v>1</v>
      </c>
      <c r="J9" s="1">
        <v>1</v>
      </c>
      <c r="K9" s="1">
        <v>1</v>
      </c>
      <c r="L9" s="1">
        <v>0</v>
      </c>
      <c r="M9" s="1">
        <v>0</v>
      </c>
      <c r="N9" s="1">
        <v>0</v>
      </c>
      <c r="O9" s="3">
        <v>1.36014271231646</v>
      </c>
      <c r="P9" s="1">
        <v>4</v>
      </c>
      <c r="Q9" s="1" t="str">
        <f>IF(Table2[[#This Row],[GradeClass]]=4,"A",IF(Table2[[#This Row],[GradeClass]]=3,"B",IF(Table2[[#This Row],[GradeClass]]=2,"C",IF(Table2[[#This Row],[GradeClass]]=1,"D","F"))))</f>
        <v>A</v>
      </c>
    </row>
    <row r="10" spans="1:21" x14ac:dyDescent="0.3">
      <c r="A10" s="1">
        <v>1009</v>
      </c>
      <c r="B10" s="1">
        <v>17</v>
      </c>
      <c r="C10" s="1">
        <v>0</v>
      </c>
      <c r="D10" s="1" t="str">
        <f>IF(Table2[[#This Row],[Gender Code]]=1,"Male","Female")</f>
        <v>Female</v>
      </c>
      <c r="E10" s="1">
        <v>0</v>
      </c>
      <c r="F10" s="1">
        <v>0</v>
      </c>
      <c r="G10" s="2">
        <v>4.5620075580477</v>
      </c>
      <c r="H10" s="1">
        <v>1</v>
      </c>
      <c r="I10" s="1">
        <v>0</v>
      </c>
      <c r="J10" s="1">
        <v>2</v>
      </c>
      <c r="K10" s="1">
        <v>0</v>
      </c>
      <c r="L10" s="1">
        <v>1</v>
      </c>
      <c r="M10" s="1">
        <v>0</v>
      </c>
      <c r="N10" s="1">
        <v>1</v>
      </c>
      <c r="O10" s="3">
        <v>2.8968191895135602</v>
      </c>
      <c r="P10" s="1">
        <v>2</v>
      </c>
      <c r="Q10" s="1" t="str">
        <f>IF(Table2[[#This Row],[GradeClass]]=4,"A",IF(Table2[[#This Row],[GradeClass]]=3,"B",IF(Table2[[#This Row],[GradeClass]]=2,"C",IF(Table2[[#This Row],[GradeClass]]=1,"D","F"))))</f>
        <v>C</v>
      </c>
      <c r="T10" s="4" t="s">
        <v>25</v>
      </c>
      <c r="U10" s="4"/>
    </row>
    <row r="11" spans="1:21" x14ac:dyDescent="0.3">
      <c r="A11" s="1">
        <v>1010</v>
      </c>
      <c r="B11" s="1">
        <v>16</v>
      </c>
      <c r="C11" s="1">
        <v>1</v>
      </c>
      <c r="D11" s="1" t="str">
        <f>IF(Table2[[#This Row],[Gender Code]]=1,"Male","Female")</f>
        <v>Male</v>
      </c>
      <c r="E11" s="1">
        <v>0</v>
      </c>
      <c r="F11" s="1">
        <v>1</v>
      </c>
      <c r="G11" s="2">
        <v>18.444466363097199</v>
      </c>
      <c r="H11" s="1">
        <v>0</v>
      </c>
      <c r="I11" s="1">
        <v>0</v>
      </c>
      <c r="J11" s="1">
        <v>3</v>
      </c>
      <c r="K11" s="1">
        <v>1</v>
      </c>
      <c r="L11" s="1">
        <v>0</v>
      </c>
      <c r="M11" s="1">
        <v>0</v>
      </c>
      <c r="N11" s="1">
        <v>0</v>
      </c>
      <c r="O11" s="3">
        <v>3.5734742103297599</v>
      </c>
      <c r="P11" s="1">
        <v>0</v>
      </c>
      <c r="Q11" s="1" t="str">
        <f>IF(Table2[[#This Row],[GradeClass]]=4,"A",IF(Table2[[#This Row],[GradeClass]]=3,"B",IF(Table2[[#This Row],[GradeClass]]=2,"C",IF(Table2[[#This Row],[GradeClass]]=1,"D","F"))))</f>
        <v>F</v>
      </c>
      <c r="T11" s="4" t="s">
        <v>26</v>
      </c>
      <c r="U11" s="4">
        <f>INDEX(Table2[StudentID],MATCH("F",Table2[Grade],0))</f>
        <v>1010</v>
      </c>
    </row>
    <row r="12" spans="1:21" x14ac:dyDescent="0.3">
      <c r="A12" s="1">
        <v>1011</v>
      </c>
      <c r="B12" s="1">
        <v>17</v>
      </c>
      <c r="C12" s="1">
        <v>0</v>
      </c>
      <c r="D12" s="1" t="str">
        <f>IF(Table2[[#This Row],[Gender Code]]=1,"Male","Female")</f>
        <v>Female</v>
      </c>
      <c r="E12" s="1">
        <v>0</v>
      </c>
      <c r="F12" s="1">
        <v>1</v>
      </c>
      <c r="G12" s="2">
        <v>11.851363655296501</v>
      </c>
      <c r="H12" s="1">
        <v>11</v>
      </c>
      <c r="I12" s="1">
        <v>0</v>
      </c>
      <c r="J12" s="1">
        <v>1</v>
      </c>
      <c r="K12" s="1">
        <v>0</v>
      </c>
      <c r="L12" s="1">
        <v>0</v>
      </c>
      <c r="M12" s="1">
        <v>0</v>
      </c>
      <c r="N12" s="1">
        <v>0</v>
      </c>
      <c r="O12" s="3">
        <v>2.14717162501851</v>
      </c>
      <c r="P12" s="1">
        <v>3</v>
      </c>
      <c r="Q12" s="1" t="str">
        <f>IF(Table2[[#This Row],[GradeClass]]=4,"A",IF(Table2[[#This Row],[GradeClass]]=3,"B",IF(Table2[[#This Row],[GradeClass]]=2,"C",IF(Table2[[#This Row],[GradeClass]]=1,"D","F"))))</f>
        <v>B</v>
      </c>
    </row>
    <row r="13" spans="1:21" x14ac:dyDescent="0.3">
      <c r="A13" s="1">
        <v>1012</v>
      </c>
      <c r="B13" s="1">
        <v>17</v>
      </c>
      <c r="C13" s="1">
        <v>0</v>
      </c>
      <c r="D13" s="1" t="str">
        <f>IF(Table2[[#This Row],[Gender Code]]=1,"Male","Female")</f>
        <v>Female</v>
      </c>
      <c r="E13" s="1">
        <v>0</v>
      </c>
      <c r="F13" s="1">
        <v>1</v>
      </c>
      <c r="G13" s="2">
        <v>7.59848581924029</v>
      </c>
      <c r="H13" s="1">
        <v>15</v>
      </c>
      <c r="I13" s="1">
        <v>0</v>
      </c>
      <c r="J13" s="1">
        <v>2</v>
      </c>
      <c r="K13" s="1">
        <v>0</v>
      </c>
      <c r="L13" s="1">
        <v>0</v>
      </c>
      <c r="M13" s="1">
        <v>0</v>
      </c>
      <c r="N13" s="1">
        <v>1</v>
      </c>
      <c r="O13" s="3">
        <v>1.55959451904027</v>
      </c>
      <c r="P13" s="1">
        <v>4</v>
      </c>
      <c r="Q13" s="1" t="str">
        <f>IF(Table2[[#This Row],[GradeClass]]=4,"A",IF(Table2[[#This Row],[GradeClass]]=3,"B",IF(Table2[[#This Row],[GradeClass]]=2,"C",IF(Table2[[#This Row],[GradeClass]]=1,"D","F"))))</f>
        <v>A</v>
      </c>
    </row>
    <row r="14" spans="1:21" x14ac:dyDescent="0.3">
      <c r="A14" s="1">
        <v>1013</v>
      </c>
      <c r="B14" s="1">
        <v>17</v>
      </c>
      <c r="C14" s="1">
        <v>0</v>
      </c>
      <c r="D14" s="1" t="str">
        <f>IF(Table2[[#This Row],[Gender Code]]=1,"Male","Female")</f>
        <v>Female</v>
      </c>
      <c r="E14" s="1">
        <v>1</v>
      </c>
      <c r="F14" s="1">
        <v>1</v>
      </c>
      <c r="G14" s="2">
        <v>10.038711615617199</v>
      </c>
      <c r="H14" s="1">
        <v>21</v>
      </c>
      <c r="I14" s="1">
        <v>0</v>
      </c>
      <c r="J14" s="1">
        <v>3</v>
      </c>
      <c r="K14" s="1">
        <v>1</v>
      </c>
      <c r="L14" s="1">
        <v>0</v>
      </c>
      <c r="M14" s="1">
        <v>0</v>
      </c>
      <c r="N14" s="1">
        <v>0</v>
      </c>
      <c r="O14" s="3">
        <v>1.5200778148748</v>
      </c>
      <c r="P14" s="1">
        <v>4</v>
      </c>
      <c r="Q14" s="1" t="str">
        <f>IF(Table2[[#This Row],[GradeClass]]=4,"A",IF(Table2[[#This Row],[GradeClass]]=3,"B",IF(Table2[[#This Row],[GradeClass]]=2,"C",IF(Table2[[#This Row],[GradeClass]]=1,"D","F"))))</f>
        <v>A</v>
      </c>
    </row>
    <row r="15" spans="1:21" x14ac:dyDescent="0.3">
      <c r="A15" s="1">
        <v>1014</v>
      </c>
      <c r="B15" s="1">
        <v>17</v>
      </c>
      <c r="C15" s="1">
        <v>0</v>
      </c>
      <c r="D15" s="1" t="str">
        <f>IF(Table2[[#This Row],[Gender Code]]=1,"Male","Female")</f>
        <v>Female</v>
      </c>
      <c r="E15" s="1">
        <v>1</v>
      </c>
      <c r="F15" s="1">
        <v>2</v>
      </c>
      <c r="G15" s="2">
        <v>12.1014250687548</v>
      </c>
      <c r="H15" s="1">
        <v>21</v>
      </c>
      <c r="I15" s="1">
        <v>0</v>
      </c>
      <c r="J15" s="1">
        <v>4</v>
      </c>
      <c r="K15" s="1">
        <v>0</v>
      </c>
      <c r="L15" s="1">
        <v>1</v>
      </c>
      <c r="M15" s="1">
        <v>0</v>
      </c>
      <c r="N15" s="1">
        <v>0</v>
      </c>
      <c r="O15" s="3">
        <v>1.75158095833407</v>
      </c>
      <c r="P15" s="1">
        <v>4</v>
      </c>
      <c r="Q15" s="1" t="str">
        <f>IF(Table2[[#This Row],[GradeClass]]=4,"A",IF(Table2[[#This Row],[GradeClass]]=3,"B",IF(Table2[[#This Row],[GradeClass]]=2,"C",IF(Table2[[#This Row],[GradeClass]]=1,"D","F"))))</f>
        <v>A</v>
      </c>
    </row>
    <row r="16" spans="1:21" x14ac:dyDescent="0.3">
      <c r="A16" s="1">
        <v>1015</v>
      </c>
      <c r="B16" s="1">
        <v>18</v>
      </c>
      <c r="C16" s="1">
        <v>1</v>
      </c>
      <c r="D16" s="1" t="str">
        <f>IF(Table2[[#This Row],[Gender Code]]=1,"Male","Female")</f>
        <v>Male</v>
      </c>
      <c r="E16" s="1">
        <v>0</v>
      </c>
      <c r="F16" s="1">
        <v>1</v>
      </c>
      <c r="G16" s="2">
        <v>11.197810636915699</v>
      </c>
      <c r="H16" s="1">
        <v>9</v>
      </c>
      <c r="I16" s="1">
        <v>1</v>
      </c>
      <c r="J16" s="1">
        <v>2</v>
      </c>
      <c r="K16" s="1">
        <v>0</v>
      </c>
      <c r="L16" s="1">
        <v>0</v>
      </c>
      <c r="M16" s="1">
        <v>0</v>
      </c>
      <c r="N16" s="1">
        <v>0</v>
      </c>
      <c r="O16" s="3">
        <v>2.3967881171247898</v>
      </c>
      <c r="P16" s="1">
        <v>3</v>
      </c>
      <c r="Q16" s="1" t="str">
        <f>IF(Table2[[#This Row],[GradeClass]]=4,"A",IF(Table2[[#This Row],[GradeClass]]=3,"B",IF(Table2[[#This Row],[GradeClass]]=2,"C",IF(Table2[[#This Row],[GradeClass]]=1,"D","F"))))</f>
        <v>B</v>
      </c>
    </row>
    <row r="17" spans="1:17" x14ac:dyDescent="0.3">
      <c r="A17" s="1">
        <v>1016</v>
      </c>
      <c r="B17" s="1">
        <v>15</v>
      </c>
      <c r="C17" s="1">
        <v>0</v>
      </c>
      <c r="D17" s="1" t="str">
        <f>IF(Table2[[#This Row],[Gender Code]]=1,"Male","Female")</f>
        <v>Female</v>
      </c>
      <c r="E17" s="1">
        <v>0</v>
      </c>
      <c r="F17" s="1">
        <v>2</v>
      </c>
      <c r="G17" s="2">
        <v>9.7281007107235595</v>
      </c>
      <c r="H17" s="1">
        <v>17</v>
      </c>
      <c r="I17" s="1">
        <v>1</v>
      </c>
      <c r="J17" s="1">
        <v>0</v>
      </c>
      <c r="K17" s="1">
        <v>0</v>
      </c>
      <c r="L17" s="1">
        <v>1</v>
      </c>
      <c r="M17" s="1">
        <v>0</v>
      </c>
      <c r="N17" s="1">
        <v>0</v>
      </c>
      <c r="O17" s="3">
        <v>1.3415207165346601</v>
      </c>
      <c r="P17" s="1">
        <v>4</v>
      </c>
      <c r="Q17" s="1" t="str">
        <f>IF(Table2[[#This Row],[GradeClass]]=4,"A",IF(Table2[[#This Row],[GradeClass]]=3,"B",IF(Table2[[#This Row],[GradeClass]]=2,"C",IF(Table2[[#This Row],[GradeClass]]=1,"D","F"))))</f>
        <v>A</v>
      </c>
    </row>
    <row r="18" spans="1:17" x14ac:dyDescent="0.3">
      <c r="A18" s="1">
        <v>1017</v>
      </c>
      <c r="B18" s="1">
        <v>18</v>
      </c>
      <c r="C18" s="1">
        <v>0</v>
      </c>
      <c r="D18" s="1" t="str">
        <f>IF(Table2[[#This Row],[Gender Code]]=1,"Male","Female")</f>
        <v>Female</v>
      </c>
      <c r="E18" s="1">
        <v>3</v>
      </c>
      <c r="F18" s="1">
        <v>1</v>
      </c>
      <c r="G18" s="2">
        <v>10.098656081788</v>
      </c>
      <c r="H18" s="1">
        <v>14</v>
      </c>
      <c r="I18" s="1">
        <v>0</v>
      </c>
      <c r="J18" s="1">
        <v>2</v>
      </c>
      <c r="K18" s="1">
        <v>1</v>
      </c>
      <c r="L18" s="1">
        <v>1</v>
      </c>
      <c r="M18" s="1">
        <v>0</v>
      </c>
      <c r="N18" s="1">
        <v>0</v>
      </c>
      <c r="O18" s="3">
        <v>2.23217527771597</v>
      </c>
      <c r="P18" s="1">
        <v>3</v>
      </c>
      <c r="Q18" s="1" t="str">
        <f>IF(Table2[[#This Row],[GradeClass]]=4,"A",IF(Table2[[#This Row],[GradeClass]]=3,"B",IF(Table2[[#This Row],[GradeClass]]=2,"C",IF(Table2[[#This Row],[GradeClass]]=1,"D","F"))))</f>
        <v>B</v>
      </c>
    </row>
    <row r="19" spans="1:17" x14ac:dyDescent="0.3">
      <c r="A19" s="1">
        <v>1018</v>
      </c>
      <c r="B19" s="1">
        <v>18</v>
      </c>
      <c r="C19" s="1">
        <v>1</v>
      </c>
      <c r="D19" s="1" t="str">
        <f>IF(Table2[[#This Row],[Gender Code]]=1,"Male","Female")</f>
        <v>Male</v>
      </c>
      <c r="E19" s="1">
        <v>0</v>
      </c>
      <c r="F19" s="1">
        <v>0</v>
      </c>
      <c r="G19" s="2">
        <v>3.52823820855772</v>
      </c>
      <c r="H19" s="1">
        <v>16</v>
      </c>
      <c r="I19" s="1">
        <v>1</v>
      </c>
      <c r="J19" s="1">
        <v>2</v>
      </c>
      <c r="K19" s="1">
        <v>0</v>
      </c>
      <c r="L19" s="1">
        <v>0</v>
      </c>
      <c r="M19" s="1">
        <v>0</v>
      </c>
      <c r="N19" s="1">
        <v>0</v>
      </c>
      <c r="O19" s="3">
        <v>1.38440417569403</v>
      </c>
      <c r="P19" s="1">
        <v>4</v>
      </c>
      <c r="Q19" s="1" t="str">
        <f>IF(Table2[[#This Row],[GradeClass]]=4,"A",IF(Table2[[#This Row],[GradeClass]]=3,"B",IF(Table2[[#This Row],[GradeClass]]=2,"C",IF(Table2[[#This Row],[GradeClass]]=1,"D","F"))))</f>
        <v>A</v>
      </c>
    </row>
    <row r="20" spans="1:17" x14ac:dyDescent="0.3">
      <c r="A20" s="1">
        <v>1019</v>
      </c>
      <c r="B20" s="1">
        <v>18</v>
      </c>
      <c r="C20" s="1">
        <v>0</v>
      </c>
      <c r="D20" s="1" t="str">
        <f>IF(Table2[[#This Row],[Gender Code]]=1,"Male","Female")</f>
        <v>Female</v>
      </c>
      <c r="E20" s="1">
        <v>1</v>
      </c>
      <c r="F20" s="1">
        <v>3</v>
      </c>
      <c r="G20" s="2">
        <v>16.254658086093499</v>
      </c>
      <c r="H20" s="1">
        <v>29</v>
      </c>
      <c r="I20" s="1">
        <v>0</v>
      </c>
      <c r="J20" s="1">
        <v>2</v>
      </c>
      <c r="K20" s="1">
        <v>1</v>
      </c>
      <c r="L20" s="1">
        <v>0</v>
      </c>
      <c r="M20" s="1">
        <v>0</v>
      </c>
      <c r="N20" s="1">
        <v>1</v>
      </c>
      <c r="O20" s="3">
        <v>0.46955332337986999</v>
      </c>
      <c r="P20" s="1">
        <v>4</v>
      </c>
      <c r="Q20" s="1" t="str">
        <f>IF(Table2[[#This Row],[GradeClass]]=4,"A",IF(Table2[[#This Row],[GradeClass]]=3,"B",IF(Table2[[#This Row],[GradeClass]]=2,"C",IF(Table2[[#This Row],[GradeClass]]=1,"D","F"))))</f>
        <v>A</v>
      </c>
    </row>
    <row r="21" spans="1:17" x14ac:dyDescent="0.3">
      <c r="A21" s="1">
        <v>1020</v>
      </c>
      <c r="B21" s="1">
        <v>17</v>
      </c>
      <c r="C21" s="1">
        <v>0</v>
      </c>
      <c r="D21" s="1" t="str">
        <f>IF(Table2[[#This Row],[Gender Code]]=1,"Male","Female")</f>
        <v>Female</v>
      </c>
      <c r="E21" s="1">
        <v>0</v>
      </c>
      <c r="F21" s="1">
        <v>1</v>
      </c>
      <c r="G21" s="2">
        <v>10.835206398820301</v>
      </c>
      <c r="H21" s="1">
        <v>9</v>
      </c>
      <c r="I21" s="1">
        <v>0</v>
      </c>
      <c r="J21" s="1">
        <v>2</v>
      </c>
      <c r="K21" s="1">
        <v>0</v>
      </c>
      <c r="L21" s="1">
        <v>0</v>
      </c>
      <c r="M21" s="1">
        <v>1</v>
      </c>
      <c r="N21" s="1">
        <v>0</v>
      </c>
      <c r="O21" s="3">
        <v>2.3957840945306899</v>
      </c>
      <c r="P21" s="1">
        <v>3</v>
      </c>
      <c r="Q21" s="1" t="str">
        <f>IF(Table2[[#This Row],[GradeClass]]=4,"A",IF(Table2[[#This Row],[GradeClass]]=3,"B",IF(Table2[[#This Row],[GradeClass]]=2,"C",IF(Table2[[#This Row],[GradeClass]]=1,"D","F"))))</f>
        <v>B</v>
      </c>
    </row>
    <row r="22" spans="1:17" x14ac:dyDescent="0.3">
      <c r="A22" s="1">
        <v>1021</v>
      </c>
      <c r="B22" s="1">
        <v>16</v>
      </c>
      <c r="C22" s="1">
        <v>1</v>
      </c>
      <c r="D22" s="1" t="str">
        <f>IF(Table2[[#This Row],[Gender Code]]=1,"Male","Female")</f>
        <v>Male</v>
      </c>
      <c r="E22" s="1">
        <v>0</v>
      </c>
      <c r="F22" s="1">
        <v>3</v>
      </c>
      <c r="G22" s="2">
        <v>2.6215972340940601</v>
      </c>
      <c r="H22" s="1">
        <v>2</v>
      </c>
      <c r="I22" s="1">
        <v>0</v>
      </c>
      <c r="J22" s="1">
        <v>3</v>
      </c>
      <c r="K22" s="1">
        <v>0</v>
      </c>
      <c r="L22" s="1">
        <v>0</v>
      </c>
      <c r="M22" s="1">
        <v>0</v>
      </c>
      <c r="N22" s="1">
        <v>1</v>
      </c>
      <c r="O22" s="3">
        <v>2.7784112999206498</v>
      </c>
      <c r="P22" s="1">
        <v>2</v>
      </c>
      <c r="Q22" s="1" t="str">
        <f>IF(Table2[[#This Row],[GradeClass]]=4,"A",IF(Table2[[#This Row],[GradeClass]]=3,"B",IF(Table2[[#This Row],[GradeClass]]=2,"C",IF(Table2[[#This Row],[GradeClass]]=1,"D","F"))))</f>
        <v>C</v>
      </c>
    </row>
    <row r="23" spans="1:17" x14ac:dyDescent="0.3">
      <c r="A23" s="1">
        <v>1022</v>
      </c>
      <c r="B23" s="1">
        <v>15</v>
      </c>
      <c r="C23" s="1">
        <v>0</v>
      </c>
      <c r="D23" s="1" t="str">
        <f>IF(Table2[[#This Row],[Gender Code]]=1,"Male","Female")</f>
        <v>Female</v>
      </c>
      <c r="E23" s="1">
        <v>0</v>
      </c>
      <c r="F23" s="1">
        <v>2</v>
      </c>
      <c r="G23" s="2">
        <v>15.3231420316555</v>
      </c>
      <c r="H23" s="1">
        <v>25</v>
      </c>
      <c r="I23" s="1">
        <v>0</v>
      </c>
      <c r="J23" s="1">
        <v>1</v>
      </c>
      <c r="K23" s="1">
        <v>1</v>
      </c>
      <c r="L23" s="1">
        <v>0</v>
      </c>
      <c r="M23" s="1">
        <v>0</v>
      </c>
      <c r="N23" s="1">
        <v>0</v>
      </c>
      <c r="O23" s="3">
        <v>0.34689403670501401</v>
      </c>
      <c r="P23" s="1">
        <v>4</v>
      </c>
      <c r="Q23" s="1" t="str">
        <f>IF(Table2[[#This Row],[GradeClass]]=4,"A",IF(Table2[[#This Row],[GradeClass]]=3,"B",IF(Table2[[#This Row],[GradeClass]]=2,"C",IF(Table2[[#This Row],[GradeClass]]=1,"D","F"))))</f>
        <v>A</v>
      </c>
    </row>
    <row r="24" spans="1:17" x14ac:dyDescent="0.3">
      <c r="A24" s="1">
        <v>1023</v>
      </c>
      <c r="B24" s="1">
        <v>16</v>
      </c>
      <c r="C24" s="1">
        <v>1</v>
      </c>
      <c r="D24" s="1" t="str">
        <f>IF(Table2[[#This Row],[Gender Code]]=1,"Male","Female")</f>
        <v>Male</v>
      </c>
      <c r="E24" s="1">
        <v>1</v>
      </c>
      <c r="F24" s="1">
        <v>0</v>
      </c>
      <c r="G24" s="2">
        <v>18.648879567546999</v>
      </c>
      <c r="H24" s="1">
        <v>29</v>
      </c>
      <c r="I24" s="1">
        <v>1</v>
      </c>
      <c r="J24" s="1">
        <v>1</v>
      </c>
      <c r="K24" s="1">
        <v>0</v>
      </c>
      <c r="L24" s="1">
        <v>0</v>
      </c>
      <c r="M24" s="1">
        <v>0</v>
      </c>
      <c r="N24" s="1">
        <v>0</v>
      </c>
      <c r="O24" s="3">
        <v>0.31254623052535402</v>
      </c>
      <c r="P24" s="1">
        <v>4</v>
      </c>
      <c r="Q24" s="1" t="str">
        <f>IF(Table2[[#This Row],[GradeClass]]=4,"A",IF(Table2[[#This Row],[GradeClass]]=3,"B",IF(Table2[[#This Row],[GradeClass]]=2,"C",IF(Table2[[#This Row],[GradeClass]]=1,"D","F"))))</f>
        <v>A</v>
      </c>
    </row>
    <row r="25" spans="1:17" x14ac:dyDescent="0.3">
      <c r="A25" s="1">
        <v>1024</v>
      </c>
      <c r="B25" s="1">
        <v>18</v>
      </c>
      <c r="C25" s="1">
        <v>1</v>
      </c>
      <c r="D25" s="1" t="str">
        <f>IF(Table2[[#This Row],[Gender Code]]=1,"Male","Female")</f>
        <v>Male</v>
      </c>
      <c r="E25" s="1">
        <v>3</v>
      </c>
      <c r="F25" s="1">
        <v>4</v>
      </c>
      <c r="G25" s="2">
        <v>18.946137984739199</v>
      </c>
      <c r="H25" s="1">
        <v>20</v>
      </c>
      <c r="I25" s="1">
        <v>0</v>
      </c>
      <c r="J25" s="1">
        <v>2</v>
      </c>
      <c r="K25" s="1">
        <v>1</v>
      </c>
      <c r="L25" s="1">
        <v>0</v>
      </c>
      <c r="M25" s="1">
        <v>0</v>
      </c>
      <c r="N25" s="1">
        <v>0</v>
      </c>
      <c r="O25" s="3">
        <v>1.7701318767799701</v>
      </c>
      <c r="P25" s="1">
        <v>4</v>
      </c>
      <c r="Q25" s="1" t="str">
        <f>IF(Table2[[#This Row],[GradeClass]]=4,"A",IF(Table2[[#This Row],[GradeClass]]=3,"B",IF(Table2[[#This Row],[GradeClass]]=2,"C",IF(Table2[[#This Row],[GradeClass]]=1,"D","F"))))</f>
        <v>A</v>
      </c>
    </row>
    <row r="26" spans="1:17" x14ac:dyDescent="0.3">
      <c r="A26" s="1">
        <v>1025</v>
      </c>
      <c r="B26" s="1">
        <v>18</v>
      </c>
      <c r="C26" s="1">
        <v>1</v>
      </c>
      <c r="D26" s="1" t="str">
        <f>IF(Table2[[#This Row],[Gender Code]]=1,"Male","Female")</f>
        <v>Male</v>
      </c>
      <c r="E26" s="1">
        <v>0</v>
      </c>
      <c r="F26" s="1">
        <v>1</v>
      </c>
      <c r="G26" s="2">
        <v>7.3803546482234497</v>
      </c>
      <c r="H26" s="1">
        <v>15</v>
      </c>
      <c r="I26" s="1">
        <v>0</v>
      </c>
      <c r="J26" s="1">
        <v>2</v>
      </c>
      <c r="K26" s="1">
        <v>0</v>
      </c>
      <c r="L26" s="1">
        <v>0</v>
      </c>
      <c r="M26" s="1">
        <v>0</v>
      </c>
      <c r="N26" s="1">
        <v>0</v>
      </c>
      <c r="O26" s="3">
        <v>1.5051556220362801</v>
      </c>
      <c r="P26" s="1">
        <v>4</v>
      </c>
      <c r="Q26" s="1" t="str">
        <f>IF(Table2[[#This Row],[GradeClass]]=4,"A",IF(Table2[[#This Row],[GradeClass]]=3,"B",IF(Table2[[#This Row],[GradeClass]]=2,"C",IF(Table2[[#This Row],[GradeClass]]=1,"D","F"))))</f>
        <v>A</v>
      </c>
    </row>
    <row r="27" spans="1:17" x14ac:dyDescent="0.3">
      <c r="A27" s="1">
        <v>1026</v>
      </c>
      <c r="B27" s="1">
        <v>16</v>
      </c>
      <c r="C27" s="1">
        <v>1</v>
      </c>
      <c r="D27" s="1" t="str">
        <f>IF(Table2[[#This Row],[Gender Code]]=1,"Male","Female")</f>
        <v>Male</v>
      </c>
      <c r="E27" s="1">
        <v>0</v>
      </c>
      <c r="F27" s="1">
        <v>3</v>
      </c>
      <c r="G27" s="2">
        <v>2.7103374712150798</v>
      </c>
      <c r="H27" s="1">
        <v>5</v>
      </c>
      <c r="I27" s="1">
        <v>0</v>
      </c>
      <c r="J27" s="1">
        <v>4</v>
      </c>
      <c r="K27" s="1">
        <v>0</v>
      </c>
      <c r="L27" s="1">
        <v>0</v>
      </c>
      <c r="M27" s="1">
        <v>1</v>
      </c>
      <c r="N27" s="1">
        <v>0</v>
      </c>
      <c r="O27" s="3">
        <v>2.9778519183157401</v>
      </c>
      <c r="P27" s="1">
        <v>2</v>
      </c>
      <c r="Q27" s="1" t="str">
        <f>IF(Table2[[#This Row],[GradeClass]]=4,"A",IF(Table2[[#This Row],[GradeClass]]=3,"B",IF(Table2[[#This Row],[GradeClass]]=2,"C",IF(Table2[[#This Row],[GradeClass]]=1,"D","F"))))</f>
        <v>C</v>
      </c>
    </row>
    <row r="28" spans="1:17" x14ac:dyDescent="0.3">
      <c r="A28" s="1">
        <v>1027</v>
      </c>
      <c r="B28" s="1">
        <v>16</v>
      </c>
      <c r="C28" s="1">
        <v>0</v>
      </c>
      <c r="D28" s="1" t="str">
        <f>IF(Table2[[#This Row],[Gender Code]]=1,"Male","Female")</f>
        <v>Female</v>
      </c>
      <c r="E28" s="1">
        <v>0</v>
      </c>
      <c r="F28" s="1">
        <v>1</v>
      </c>
      <c r="G28" s="2">
        <v>10.367992532661299</v>
      </c>
      <c r="H28" s="1">
        <v>2</v>
      </c>
      <c r="I28" s="1">
        <v>0</v>
      </c>
      <c r="J28" s="1">
        <v>2</v>
      </c>
      <c r="K28" s="1">
        <v>0</v>
      </c>
      <c r="L28" s="1">
        <v>1</v>
      </c>
      <c r="M28" s="1">
        <v>0</v>
      </c>
      <c r="N28" s="1">
        <v>0</v>
      </c>
      <c r="O28" s="3">
        <v>2.9487176719119201</v>
      </c>
      <c r="P28" s="1">
        <v>2</v>
      </c>
      <c r="Q28" s="1" t="str">
        <f>IF(Table2[[#This Row],[GradeClass]]=4,"A",IF(Table2[[#This Row],[GradeClass]]=3,"B",IF(Table2[[#This Row],[GradeClass]]=2,"C",IF(Table2[[#This Row],[GradeClass]]=1,"D","F"))))</f>
        <v>C</v>
      </c>
    </row>
    <row r="29" spans="1:17" x14ac:dyDescent="0.3">
      <c r="A29" s="1">
        <v>1028</v>
      </c>
      <c r="B29" s="1">
        <v>16</v>
      </c>
      <c r="C29" s="1">
        <v>1</v>
      </c>
      <c r="D29" s="1" t="str">
        <f>IF(Table2[[#This Row],[Gender Code]]=1,"Male","Female")</f>
        <v>Male</v>
      </c>
      <c r="E29" s="1">
        <v>0</v>
      </c>
      <c r="F29" s="1">
        <v>3</v>
      </c>
      <c r="G29" s="2">
        <v>2.2521845869844102</v>
      </c>
      <c r="H29" s="1">
        <v>8</v>
      </c>
      <c r="I29" s="1">
        <v>0</v>
      </c>
      <c r="J29" s="1">
        <v>3</v>
      </c>
      <c r="K29" s="1">
        <v>0</v>
      </c>
      <c r="L29" s="1">
        <v>0</v>
      </c>
      <c r="M29" s="1">
        <v>1</v>
      </c>
      <c r="N29" s="1">
        <v>0</v>
      </c>
      <c r="O29" s="3">
        <v>2.14520472046719</v>
      </c>
      <c r="P29" s="1">
        <v>3</v>
      </c>
      <c r="Q29" s="1" t="str">
        <f>IF(Table2[[#This Row],[GradeClass]]=4,"A",IF(Table2[[#This Row],[GradeClass]]=3,"B",IF(Table2[[#This Row],[GradeClass]]=2,"C",IF(Table2[[#This Row],[GradeClass]]=1,"D","F"))))</f>
        <v>B</v>
      </c>
    </row>
    <row r="30" spans="1:17" x14ac:dyDescent="0.3">
      <c r="A30" s="1">
        <v>1029</v>
      </c>
      <c r="B30" s="1">
        <v>18</v>
      </c>
      <c r="C30" s="1">
        <v>0</v>
      </c>
      <c r="D30" s="1" t="str">
        <f>IF(Table2[[#This Row],[Gender Code]]=1,"Male","Female")</f>
        <v>Female</v>
      </c>
      <c r="E30" s="1">
        <v>0</v>
      </c>
      <c r="F30" s="1">
        <v>0</v>
      </c>
      <c r="G30" s="2">
        <v>18.679748370252302</v>
      </c>
      <c r="H30" s="1">
        <v>10</v>
      </c>
      <c r="I30" s="1">
        <v>0</v>
      </c>
      <c r="J30" s="1">
        <v>3</v>
      </c>
      <c r="K30" s="1">
        <v>1</v>
      </c>
      <c r="L30" s="1">
        <v>0</v>
      </c>
      <c r="M30" s="1">
        <v>0</v>
      </c>
      <c r="N30" s="1">
        <v>0</v>
      </c>
      <c r="O30" s="3">
        <v>2.8548039289813101</v>
      </c>
      <c r="P30" s="1">
        <v>2</v>
      </c>
      <c r="Q30" s="1" t="str">
        <f>IF(Table2[[#This Row],[GradeClass]]=4,"A",IF(Table2[[#This Row],[GradeClass]]=3,"B",IF(Table2[[#This Row],[GradeClass]]=2,"C",IF(Table2[[#This Row],[GradeClass]]=1,"D","F"))))</f>
        <v>C</v>
      </c>
    </row>
    <row r="31" spans="1:17" x14ac:dyDescent="0.3">
      <c r="A31" s="1">
        <v>1030</v>
      </c>
      <c r="B31" s="1">
        <v>18</v>
      </c>
      <c r="C31" s="1">
        <v>0</v>
      </c>
      <c r="D31" s="1" t="str">
        <f>IF(Table2[[#This Row],[Gender Code]]=1,"Male","Female")</f>
        <v>Female</v>
      </c>
      <c r="E31" s="1">
        <v>0</v>
      </c>
      <c r="F31" s="1">
        <v>2</v>
      </c>
      <c r="G31" s="2">
        <v>3.6715925471029198</v>
      </c>
      <c r="H31" s="1">
        <v>20</v>
      </c>
      <c r="I31" s="1">
        <v>0</v>
      </c>
      <c r="J31" s="1">
        <v>3</v>
      </c>
      <c r="K31" s="1">
        <v>1</v>
      </c>
      <c r="L31" s="1">
        <v>0</v>
      </c>
      <c r="M31" s="1">
        <v>0</v>
      </c>
      <c r="N31" s="1">
        <v>0</v>
      </c>
      <c r="O31" s="3">
        <v>1.51944172581513</v>
      </c>
      <c r="P31" s="1">
        <v>4</v>
      </c>
      <c r="Q31" s="1" t="str">
        <f>IF(Table2[[#This Row],[GradeClass]]=4,"A",IF(Table2[[#This Row],[GradeClass]]=3,"B",IF(Table2[[#This Row],[GradeClass]]=2,"C",IF(Table2[[#This Row],[GradeClass]]=1,"D","F"))))</f>
        <v>A</v>
      </c>
    </row>
    <row r="32" spans="1:17" x14ac:dyDescent="0.3">
      <c r="A32" s="1">
        <v>1031</v>
      </c>
      <c r="B32" s="1">
        <v>15</v>
      </c>
      <c r="C32" s="1">
        <v>0</v>
      </c>
      <c r="D32" s="1" t="str">
        <f>IF(Table2[[#This Row],[Gender Code]]=1,"Male","Female")</f>
        <v>Female</v>
      </c>
      <c r="E32" s="1">
        <v>2</v>
      </c>
      <c r="F32" s="1">
        <v>2</v>
      </c>
      <c r="G32" s="2">
        <v>5.0553171990232801</v>
      </c>
      <c r="H32" s="1">
        <v>12</v>
      </c>
      <c r="I32" s="1">
        <v>1</v>
      </c>
      <c r="J32" s="1">
        <v>0</v>
      </c>
      <c r="K32" s="1">
        <v>0</v>
      </c>
      <c r="L32" s="1">
        <v>1</v>
      </c>
      <c r="M32" s="1">
        <v>0</v>
      </c>
      <c r="N32" s="1">
        <v>0</v>
      </c>
      <c r="O32" s="3">
        <v>1.7271203095223999</v>
      </c>
      <c r="P32" s="1">
        <v>4</v>
      </c>
      <c r="Q32" s="1" t="str">
        <f>IF(Table2[[#This Row],[GradeClass]]=4,"A",IF(Table2[[#This Row],[GradeClass]]=3,"B",IF(Table2[[#This Row],[GradeClass]]=2,"C",IF(Table2[[#This Row],[GradeClass]]=1,"D","F"))))</f>
        <v>A</v>
      </c>
    </row>
    <row r="33" spans="1:17" x14ac:dyDescent="0.3">
      <c r="A33" s="1">
        <v>1032</v>
      </c>
      <c r="B33" s="1">
        <v>15</v>
      </c>
      <c r="C33" s="1">
        <v>0</v>
      </c>
      <c r="D33" s="1" t="str">
        <f>IF(Table2[[#This Row],[Gender Code]]=1,"Male","Female")</f>
        <v>Female</v>
      </c>
      <c r="E33" s="1">
        <v>0</v>
      </c>
      <c r="F33" s="1">
        <v>3</v>
      </c>
      <c r="G33" s="2">
        <v>8.1327305376994001</v>
      </c>
      <c r="H33" s="1">
        <v>17</v>
      </c>
      <c r="I33" s="1">
        <v>0</v>
      </c>
      <c r="J33" s="1">
        <v>4</v>
      </c>
      <c r="K33" s="1">
        <v>0</v>
      </c>
      <c r="L33" s="1">
        <v>0</v>
      </c>
      <c r="M33" s="1">
        <v>0</v>
      </c>
      <c r="N33" s="1">
        <v>1</v>
      </c>
      <c r="O33" s="3">
        <v>1.8475354711387899</v>
      </c>
      <c r="P33" s="1">
        <v>4</v>
      </c>
      <c r="Q33" s="1" t="str">
        <f>IF(Table2[[#This Row],[GradeClass]]=4,"A",IF(Table2[[#This Row],[GradeClass]]=3,"B",IF(Table2[[#This Row],[GradeClass]]=2,"C",IF(Table2[[#This Row],[GradeClass]]=1,"D","F"))))</f>
        <v>A</v>
      </c>
    </row>
    <row r="34" spans="1:17" x14ac:dyDescent="0.3">
      <c r="A34" s="1">
        <v>1033</v>
      </c>
      <c r="B34" s="1">
        <v>18</v>
      </c>
      <c r="C34" s="1">
        <v>0</v>
      </c>
      <c r="D34" s="1" t="str">
        <f>IF(Table2[[#This Row],[Gender Code]]=1,"Male","Female")</f>
        <v>Female</v>
      </c>
      <c r="E34" s="1">
        <v>0</v>
      </c>
      <c r="F34" s="1">
        <v>3</v>
      </c>
      <c r="G34" s="2">
        <v>7.6632893711825103</v>
      </c>
      <c r="H34" s="1">
        <v>25</v>
      </c>
      <c r="I34" s="1">
        <v>0</v>
      </c>
      <c r="J34" s="1">
        <v>1</v>
      </c>
      <c r="K34" s="1">
        <v>0</v>
      </c>
      <c r="L34" s="1">
        <v>1</v>
      </c>
      <c r="M34" s="1">
        <v>0</v>
      </c>
      <c r="N34" s="1">
        <v>0</v>
      </c>
      <c r="O34" s="3">
        <v>0.38461697285648699</v>
      </c>
      <c r="P34" s="1">
        <v>4</v>
      </c>
      <c r="Q34" s="1" t="str">
        <f>IF(Table2[[#This Row],[GradeClass]]=4,"A",IF(Table2[[#This Row],[GradeClass]]=3,"B",IF(Table2[[#This Row],[GradeClass]]=2,"C",IF(Table2[[#This Row],[GradeClass]]=1,"D","F"))))</f>
        <v>A</v>
      </c>
    </row>
    <row r="35" spans="1:17" x14ac:dyDescent="0.3">
      <c r="A35" s="1">
        <v>1034</v>
      </c>
      <c r="B35" s="1">
        <v>16</v>
      </c>
      <c r="C35" s="1">
        <v>0</v>
      </c>
      <c r="D35" s="1" t="str">
        <f>IF(Table2[[#This Row],[Gender Code]]=1,"Male","Female")</f>
        <v>Female</v>
      </c>
      <c r="E35" s="1">
        <v>3</v>
      </c>
      <c r="F35" s="1">
        <v>3</v>
      </c>
      <c r="G35" s="2">
        <v>15.893257847957701</v>
      </c>
      <c r="H35" s="1">
        <v>21</v>
      </c>
      <c r="I35" s="1">
        <v>0</v>
      </c>
      <c r="J35" s="1">
        <v>0</v>
      </c>
      <c r="K35" s="1">
        <v>1</v>
      </c>
      <c r="L35" s="1">
        <v>1</v>
      </c>
      <c r="M35" s="1">
        <v>0</v>
      </c>
      <c r="N35" s="1">
        <v>0</v>
      </c>
      <c r="O35" s="3">
        <v>0.94940609779728002</v>
      </c>
      <c r="P35" s="1">
        <v>4</v>
      </c>
      <c r="Q35" s="1" t="str">
        <f>IF(Table2[[#This Row],[GradeClass]]=4,"A",IF(Table2[[#This Row],[GradeClass]]=3,"B",IF(Table2[[#This Row],[GradeClass]]=2,"C",IF(Table2[[#This Row],[GradeClass]]=1,"D","F"))))</f>
        <v>A</v>
      </c>
    </row>
    <row r="36" spans="1:17" x14ac:dyDescent="0.3">
      <c r="A36" s="1">
        <v>1035</v>
      </c>
      <c r="B36" s="1">
        <v>16</v>
      </c>
      <c r="C36" s="1">
        <v>0</v>
      </c>
      <c r="D36" s="1" t="str">
        <f>IF(Table2[[#This Row],[Gender Code]]=1,"Male","Female")</f>
        <v>Female</v>
      </c>
      <c r="E36" s="1">
        <v>0</v>
      </c>
      <c r="F36" s="1">
        <v>3</v>
      </c>
      <c r="G36" s="2">
        <v>9.1263364110192402</v>
      </c>
      <c r="H36" s="1">
        <v>27</v>
      </c>
      <c r="I36" s="1">
        <v>1</v>
      </c>
      <c r="J36" s="1">
        <v>2</v>
      </c>
      <c r="K36" s="1">
        <v>1</v>
      </c>
      <c r="L36" s="1">
        <v>1</v>
      </c>
      <c r="M36" s="1">
        <v>0</v>
      </c>
      <c r="N36" s="1">
        <v>0</v>
      </c>
      <c r="O36" s="3">
        <v>1.14095941842033</v>
      </c>
      <c r="P36" s="1">
        <v>4</v>
      </c>
      <c r="Q36" s="1" t="str">
        <f>IF(Table2[[#This Row],[GradeClass]]=4,"A",IF(Table2[[#This Row],[GradeClass]]=3,"B",IF(Table2[[#This Row],[GradeClass]]=2,"C",IF(Table2[[#This Row],[GradeClass]]=1,"D","F"))))</f>
        <v>A</v>
      </c>
    </row>
    <row r="37" spans="1:17" x14ac:dyDescent="0.3">
      <c r="A37" s="1">
        <v>1036</v>
      </c>
      <c r="B37" s="1">
        <v>15</v>
      </c>
      <c r="C37" s="1">
        <v>0</v>
      </c>
      <c r="D37" s="1" t="str">
        <f>IF(Table2[[#This Row],[Gender Code]]=1,"Male","Female")</f>
        <v>Female</v>
      </c>
      <c r="E37" s="1">
        <v>3</v>
      </c>
      <c r="F37" s="1">
        <v>1</v>
      </c>
      <c r="G37" s="2">
        <v>3.4153652000667298</v>
      </c>
      <c r="H37" s="1">
        <v>23</v>
      </c>
      <c r="I37" s="1">
        <v>0</v>
      </c>
      <c r="J37" s="1">
        <v>1</v>
      </c>
      <c r="K37" s="1">
        <v>0</v>
      </c>
      <c r="L37" s="1">
        <v>0</v>
      </c>
      <c r="M37" s="1">
        <v>0</v>
      </c>
      <c r="N37" s="1">
        <v>0</v>
      </c>
      <c r="O37" s="3">
        <v>0.26147226005075203</v>
      </c>
      <c r="P37" s="1">
        <v>4</v>
      </c>
      <c r="Q37" s="1" t="str">
        <f>IF(Table2[[#This Row],[GradeClass]]=4,"A",IF(Table2[[#This Row],[GradeClass]]=3,"B",IF(Table2[[#This Row],[GradeClass]]=2,"C",IF(Table2[[#This Row],[GradeClass]]=1,"D","F"))))</f>
        <v>A</v>
      </c>
    </row>
    <row r="38" spans="1:17" x14ac:dyDescent="0.3">
      <c r="A38" s="1">
        <v>1037</v>
      </c>
      <c r="B38" s="1">
        <v>18</v>
      </c>
      <c r="C38" s="1">
        <v>0</v>
      </c>
      <c r="D38" s="1" t="str">
        <f>IF(Table2[[#This Row],[Gender Code]]=1,"Male","Female")</f>
        <v>Female</v>
      </c>
      <c r="E38" s="1">
        <v>0</v>
      </c>
      <c r="F38" s="1">
        <v>1</v>
      </c>
      <c r="G38" s="2">
        <v>5.3441979097214798</v>
      </c>
      <c r="H38" s="1">
        <v>26</v>
      </c>
      <c r="I38" s="1">
        <v>1</v>
      </c>
      <c r="J38" s="1">
        <v>1</v>
      </c>
      <c r="K38" s="1">
        <v>0</v>
      </c>
      <c r="L38" s="1">
        <v>0</v>
      </c>
      <c r="M38" s="1">
        <v>0</v>
      </c>
      <c r="N38" s="1">
        <v>0</v>
      </c>
      <c r="O38" s="3">
        <v>0.21828485682103099</v>
      </c>
      <c r="P38" s="1">
        <v>4</v>
      </c>
      <c r="Q38" s="1" t="str">
        <f>IF(Table2[[#This Row],[GradeClass]]=4,"A",IF(Table2[[#This Row],[GradeClass]]=3,"B",IF(Table2[[#This Row],[GradeClass]]=2,"C",IF(Table2[[#This Row],[GradeClass]]=1,"D","F"))))</f>
        <v>A</v>
      </c>
    </row>
    <row r="39" spans="1:17" x14ac:dyDescent="0.3">
      <c r="A39" s="1">
        <v>1038</v>
      </c>
      <c r="B39" s="1">
        <v>15</v>
      </c>
      <c r="C39" s="1">
        <v>0</v>
      </c>
      <c r="D39" s="1" t="str">
        <f>IF(Table2[[#This Row],[Gender Code]]=1,"Male","Female")</f>
        <v>Female</v>
      </c>
      <c r="E39" s="1">
        <v>2</v>
      </c>
      <c r="F39" s="1">
        <v>1</v>
      </c>
      <c r="G39" s="2">
        <v>10.1822677037504</v>
      </c>
      <c r="H39" s="1">
        <v>21</v>
      </c>
      <c r="I39" s="1">
        <v>1</v>
      </c>
      <c r="J39" s="1">
        <v>1</v>
      </c>
      <c r="K39" s="1">
        <v>0</v>
      </c>
      <c r="L39" s="1">
        <v>1</v>
      </c>
      <c r="M39" s="1">
        <v>0</v>
      </c>
      <c r="N39" s="1">
        <v>0</v>
      </c>
      <c r="O39" s="3">
        <v>1.0677635510419701</v>
      </c>
      <c r="P39" s="1">
        <v>4</v>
      </c>
      <c r="Q39" s="1" t="str">
        <f>IF(Table2[[#This Row],[GradeClass]]=4,"A",IF(Table2[[#This Row],[GradeClass]]=3,"B",IF(Table2[[#This Row],[GradeClass]]=2,"C",IF(Table2[[#This Row],[GradeClass]]=1,"D","F"))))</f>
        <v>A</v>
      </c>
    </row>
    <row r="40" spans="1:17" x14ac:dyDescent="0.3">
      <c r="A40" s="1">
        <v>1039</v>
      </c>
      <c r="B40" s="1">
        <v>15</v>
      </c>
      <c r="C40" s="1">
        <v>1</v>
      </c>
      <c r="D40" s="1" t="str">
        <f>IF(Table2[[#This Row],[Gender Code]]=1,"Male","Female")</f>
        <v>Male</v>
      </c>
      <c r="E40" s="1">
        <v>1</v>
      </c>
      <c r="F40" s="1">
        <v>1</v>
      </c>
      <c r="G40" s="2">
        <v>2.9490783485226899</v>
      </c>
      <c r="H40" s="1">
        <v>3</v>
      </c>
      <c r="I40" s="1">
        <v>1</v>
      </c>
      <c r="J40" s="1">
        <v>1</v>
      </c>
      <c r="K40" s="1">
        <v>1</v>
      </c>
      <c r="L40" s="1">
        <v>1</v>
      </c>
      <c r="M40" s="1">
        <v>0</v>
      </c>
      <c r="N40" s="1">
        <v>0</v>
      </c>
      <c r="O40" s="3">
        <v>3.01890585842796</v>
      </c>
      <c r="P40" s="1">
        <v>1</v>
      </c>
      <c r="Q40" s="1" t="str">
        <f>IF(Table2[[#This Row],[GradeClass]]=4,"A",IF(Table2[[#This Row],[GradeClass]]=3,"B",IF(Table2[[#This Row],[GradeClass]]=2,"C",IF(Table2[[#This Row],[GradeClass]]=1,"D","F"))))</f>
        <v>D</v>
      </c>
    </row>
    <row r="41" spans="1:17" x14ac:dyDescent="0.3">
      <c r="A41" s="1">
        <v>1040</v>
      </c>
      <c r="B41" s="1">
        <v>17</v>
      </c>
      <c r="C41" s="1">
        <v>1</v>
      </c>
      <c r="D41" s="1" t="str">
        <f>IF(Table2[[#This Row],[Gender Code]]=1,"Male","Female")</f>
        <v>Male</v>
      </c>
      <c r="E41" s="1">
        <v>2</v>
      </c>
      <c r="F41" s="1">
        <v>1</v>
      </c>
      <c r="G41" s="2">
        <v>12.2331135129202</v>
      </c>
      <c r="H41" s="1">
        <v>21</v>
      </c>
      <c r="I41" s="1">
        <v>1</v>
      </c>
      <c r="J41" s="1">
        <v>3</v>
      </c>
      <c r="K41" s="1">
        <v>1</v>
      </c>
      <c r="L41" s="1">
        <v>1</v>
      </c>
      <c r="M41" s="1">
        <v>0</v>
      </c>
      <c r="N41" s="1">
        <v>0</v>
      </c>
      <c r="O41" s="3">
        <v>1.52686783179272</v>
      </c>
      <c r="P41" s="1">
        <v>4</v>
      </c>
      <c r="Q41" s="1" t="str">
        <f>IF(Table2[[#This Row],[GradeClass]]=4,"A",IF(Table2[[#This Row],[GradeClass]]=3,"B",IF(Table2[[#This Row],[GradeClass]]=2,"C",IF(Table2[[#This Row],[GradeClass]]=1,"D","F"))))</f>
        <v>A</v>
      </c>
    </row>
    <row r="42" spans="1:17" x14ac:dyDescent="0.3">
      <c r="A42" s="1">
        <v>1041</v>
      </c>
      <c r="B42" s="1">
        <v>17</v>
      </c>
      <c r="C42" s="1">
        <v>1</v>
      </c>
      <c r="D42" s="1" t="str">
        <f>IF(Table2[[#This Row],[Gender Code]]=1,"Male","Female")</f>
        <v>Male</v>
      </c>
      <c r="E42" s="1">
        <v>3</v>
      </c>
      <c r="F42" s="1">
        <v>2</v>
      </c>
      <c r="G42" s="2">
        <v>11.3149461310229</v>
      </c>
      <c r="H42" s="1">
        <v>23</v>
      </c>
      <c r="I42" s="1">
        <v>1</v>
      </c>
      <c r="J42" s="1">
        <v>1</v>
      </c>
      <c r="K42" s="1">
        <v>0</v>
      </c>
      <c r="L42" s="1">
        <v>0</v>
      </c>
      <c r="M42" s="1">
        <v>0</v>
      </c>
      <c r="N42" s="1">
        <v>0</v>
      </c>
      <c r="O42" s="3">
        <v>1.0582873996898601</v>
      </c>
      <c r="P42" s="1">
        <v>4</v>
      </c>
      <c r="Q42" s="1" t="str">
        <f>IF(Table2[[#This Row],[GradeClass]]=4,"A",IF(Table2[[#This Row],[GradeClass]]=3,"B",IF(Table2[[#This Row],[GradeClass]]=2,"C",IF(Table2[[#This Row],[GradeClass]]=1,"D","F"))))</f>
        <v>A</v>
      </c>
    </row>
    <row r="43" spans="1:17" x14ac:dyDescent="0.3">
      <c r="A43" s="1">
        <v>1042</v>
      </c>
      <c r="B43" s="1">
        <v>17</v>
      </c>
      <c r="C43" s="1">
        <v>0</v>
      </c>
      <c r="D43" s="1" t="str">
        <f>IF(Table2[[#This Row],[Gender Code]]=1,"Male","Female")</f>
        <v>Female</v>
      </c>
      <c r="E43" s="1">
        <v>0</v>
      </c>
      <c r="F43" s="1">
        <v>1</v>
      </c>
      <c r="G43" s="2">
        <v>14.2940463276451</v>
      </c>
      <c r="H43" s="1">
        <v>7</v>
      </c>
      <c r="I43" s="1">
        <v>0</v>
      </c>
      <c r="J43" s="1">
        <v>2</v>
      </c>
      <c r="K43" s="1">
        <v>0</v>
      </c>
      <c r="L43" s="1">
        <v>0</v>
      </c>
      <c r="M43" s="1">
        <v>0</v>
      </c>
      <c r="N43" s="1">
        <v>0</v>
      </c>
      <c r="O43" s="3">
        <v>2.62512809773223</v>
      </c>
      <c r="P43" s="1">
        <v>2</v>
      </c>
      <c r="Q43" s="1" t="str">
        <f>IF(Table2[[#This Row],[GradeClass]]=4,"A",IF(Table2[[#This Row],[GradeClass]]=3,"B",IF(Table2[[#This Row],[GradeClass]]=2,"C",IF(Table2[[#This Row],[GradeClass]]=1,"D","F"))))</f>
        <v>C</v>
      </c>
    </row>
    <row r="44" spans="1:17" x14ac:dyDescent="0.3">
      <c r="A44" s="1">
        <v>1043</v>
      </c>
      <c r="B44" s="1">
        <v>16</v>
      </c>
      <c r="C44" s="1">
        <v>1</v>
      </c>
      <c r="D44" s="1" t="str">
        <f>IF(Table2[[#This Row],[Gender Code]]=1,"Male","Female")</f>
        <v>Male</v>
      </c>
      <c r="E44" s="1">
        <v>3</v>
      </c>
      <c r="F44" s="1">
        <v>2</v>
      </c>
      <c r="G44" s="2">
        <v>18.7540923075873</v>
      </c>
      <c r="H44" s="1">
        <v>12</v>
      </c>
      <c r="I44" s="1">
        <v>1</v>
      </c>
      <c r="J44" s="1">
        <v>4</v>
      </c>
      <c r="K44" s="1">
        <v>0</v>
      </c>
      <c r="L44" s="1">
        <v>0</v>
      </c>
      <c r="M44" s="1">
        <v>0</v>
      </c>
      <c r="N44" s="1">
        <v>0</v>
      </c>
      <c r="O44" s="3">
        <v>2.80875482202865</v>
      </c>
      <c r="P44" s="1">
        <v>2</v>
      </c>
      <c r="Q44" s="1" t="str">
        <f>IF(Table2[[#This Row],[GradeClass]]=4,"A",IF(Table2[[#This Row],[GradeClass]]=3,"B",IF(Table2[[#This Row],[GradeClass]]=2,"C",IF(Table2[[#This Row],[GradeClass]]=1,"D","F"))))</f>
        <v>C</v>
      </c>
    </row>
    <row r="45" spans="1:17" x14ac:dyDescent="0.3">
      <c r="A45" s="1">
        <v>1044</v>
      </c>
      <c r="B45" s="1">
        <v>18</v>
      </c>
      <c r="C45" s="1">
        <v>1</v>
      </c>
      <c r="D45" s="1" t="str">
        <f>IF(Table2[[#This Row],[Gender Code]]=1,"Male","Female")</f>
        <v>Male</v>
      </c>
      <c r="E45" s="1">
        <v>0</v>
      </c>
      <c r="F45" s="1">
        <v>1</v>
      </c>
      <c r="G45" s="2">
        <v>18.245091222023099</v>
      </c>
      <c r="H45" s="1">
        <v>9</v>
      </c>
      <c r="I45" s="1">
        <v>0</v>
      </c>
      <c r="J45" s="1">
        <v>2</v>
      </c>
      <c r="K45" s="1">
        <v>0</v>
      </c>
      <c r="L45" s="1">
        <v>1</v>
      </c>
      <c r="M45" s="1">
        <v>0</v>
      </c>
      <c r="N45" s="1">
        <v>0</v>
      </c>
      <c r="O45" s="3">
        <v>2.8888916692724398</v>
      </c>
      <c r="P45" s="1">
        <v>2</v>
      </c>
      <c r="Q45" s="1" t="str">
        <f>IF(Table2[[#This Row],[GradeClass]]=4,"A",IF(Table2[[#This Row],[GradeClass]]=3,"B",IF(Table2[[#This Row],[GradeClass]]=2,"C",IF(Table2[[#This Row],[GradeClass]]=1,"D","F"))))</f>
        <v>C</v>
      </c>
    </row>
    <row r="46" spans="1:17" x14ac:dyDescent="0.3">
      <c r="A46" s="1">
        <v>1045</v>
      </c>
      <c r="B46" s="1">
        <v>18</v>
      </c>
      <c r="C46" s="1">
        <v>1</v>
      </c>
      <c r="D46" s="1" t="str">
        <f>IF(Table2[[#This Row],[Gender Code]]=1,"Male","Female")</f>
        <v>Male</v>
      </c>
      <c r="E46" s="1">
        <v>0</v>
      </c>
      <c r="F46" s="1">
        <v>1</v>
      </c>
      <c r="G46" s="2">
        <v>18.9215123613766</v>
      </c>
      <c r="H46" s="1">
        <v>1</v>
      </c>
      <c r="I46" s="1">
        <v>1</v>
      </c>
      <c r="J46" s="1">
        <v>3</v>
      </c>
      <c r="K46" s="1">
        <v>1</v>
      </c>
      <c r="L46" s="1">
        <v>1</v>
      </c>
      <c r="M46" s="1">
        <v>0</v>
      </c>
      <c r="N46" s="1">
        <v>0</v>
      </c>
      <c r="O46" s="3">
        <v>4</v>
      </c>
      <c r="P46" s="1">
        <v>0</v>
      </c>
      <c r="Q46" s="1" t="str">
        <f>IF(Table2[[#This Row],[GradeClass]]=4,"A",IF(Table2[[#This Row],[GradeClass]]=3,"B",IF(Table2[[#This Row],[GradeClass]]=2,"C",IF(Table2[[#This Row],[GradeClass]]=1,"D","F"))))</f>
        <v>F</v>
      </c>
    </row>
    <row r="47" spans="1:17" x14ac:dyDescent="0.3">
      <c r="A47" s="1">
        <v>1046</v>
      </c>
      <c r="B47" s="1">
        <v>18</v>
      </c>
      <c r="C47" s="1">
        <v>0</v>
      </c>
      <c r="D47" s="1" t="str">
        <f>IF(Table2[[#This Row],[Gender Code]]=1,"Male","Female")</f>
        <v>Female</v>
      </c>
      <c r="E47" s="1">
        <v>0</v>
      </c>
      <c r="F47" s="1">
        <v>2</v>
      </c>
      <c r="G47" s="2">
        <v>4.8943119404740099</v>
      </c>
      <c r="H47" s="1">
        <v>7</v>
      </c>
      <c r="I47" s="1">
        <v>0</v>
      </c>
      <c r="J47" s="1">
        <v>4</v>
      </c>
      <c r="K47" s="1">
        <v>0</v>
      </c>
      <c r="L47" s="1">
        <v>0</v>
      </c>
      <c r="M47" s="1">
        <v>1</v>
      </c>
      <c r="N47" s="1">
        <v>0</v>
      </c>
      <c r="O47" s="3">
        <v>2.5153002722562401</v>
      </c>
      <c r="P47" s="1">
        <v>2</v>
      </c>
      <c r="Q47" s="1" t="str">
        <f>IF(Table2[[#This Row],[GradeClass]]=4,"A",IF(Table2[[#This Row],[GradeClass]]=3,"B",IF(Table2[[#This Row],[GradeClass]]=2,"C",IF(Table2[[#This Row],[GradeClass]]=1,"D","F"))))</f>
        <v>C</v>
      </c>
    </row>
    <row r="48" spans="1:17" x14ac:dyDescent="0.3">
      <c r="A48" s="1">
        <v>1047</v>
      </c>
      <c r="B48" s="1">
        <v>18</v>
      </c>
      <c r="C48" s="1">
        <v>0</v>
      </c>
      <c r="D48" s="1" t="str">
        <f>IF(Table2[[#This Row],[Gender Code]]=1,"Male","Female")</f>
        <v>Female</v>
      </c>
      <c r="E48" s="1">
        <v>1</v>
      </c>
      <c r="F48" s="1">
        <v>2</v>
      </c>
      <c r="G48" s="2">
        <v>2.6313061327870901</v>
      </c>
      <c r="H48" s="1">
        <v>5</v>
      </c>
      <c r="I48" s="1">
        <v>0</v>
      </c>
      <c r="J48" s="1">
        <v>1</v>
      </c>
      <c r="K48" s="1">
        <v>1</v>
      </c>
      <c r="L48" s="1">
        <v>0</v>
      </c>
      <c r="M48" s="1">
        <v>0</v>
      </c>
      <c r="N48" s="1">
        <v>0</v>
      </c>
      <c r="O48" s="3">
        <v>2.5637654300150898</v>
      </c>
      <c r="P48" s="1">
        <v>2</v>
      </c>
      <c r="Q48" s="1" t="str">
        <f>IF(Table2[[#This Row],[GradeClass]]=4,"A",IF(Table2[[#This Row],[GradeClass]]=3,"B",IF(Table2[[#This Row],[GradeClass]]=2,"C",IF(Table2[[#This Row],[GradeClass]]=1,"D","F"))))</f>
        <v>C</v>
      </c>
    </row>
    <row r="49" spans="1:17" x14ac:dyDescent="0.3">
      <c r="A49" s="1">
        <v>1048</v>
      </c>
      <c r="B49" s="1">
        <v>17</v>
      </c>
      <c r="C49" s="1">
        <v>0</v>
      </c>
      <c r="D49" s="1" t="str">
        <f>IF(Table2[[#This Row],[Gender Code]]=1,"Male","Female")</f>
        <v>Female</v>
      </c>
      <c r="E49" s="1">
        <v>0</v>
      </c>
      <c r="F49" s="1">
        <v>2</v>
      </c>
      <c r="G49" s="2">
        <v>6.0455340099289696</v>
      </c>
      <c r="H49" s="1">
        <v>15</v>
      </c>
      <c r="I49" s="1">
        <v>0</v>
      </c>
      <c r="J49" s="1">
        <v>2</v>
      </c>
      <c r="K49" s="1">
        <v>0</v>
      </c>
      <c r="L49" s="1">
        <v>0</v>
      </c>
      <c r="M49" s="1">
        <v>0</v>
      </c>
      <c r="N49" s="1">
        <v>0</v>
      </c>
      <c r="O49" s="3">
        <v>1.7036118032323599</v>
      </c>
      <c r="P49" s="1">
        <v>4</v>
      </c>
      <c r="Q49" s="1" t="str">
        <f>IF(Table2[[#This Row],[GradeClass]]=4,"A",IF(Table2[[#This Row],[GradeClass]]=3,"B",IF(Table2[[#This Row],[GradeClass]]=2,"C",IF(Table2[[#This Row],[GradeClass]]=1,"D","F"))))</f>
        <v>A</v>
      </c>
    </row>
    <row r="50" spans="1:17" x14ac:dyDescent="0.3">
      <c r="A50" s="1">
        <v>1049</v>
      </c>
      <c r="B50" s="1">
        <v>16</v>
      </c>
      <c r="C50" s="1">
        <v>0</v>
      </c>
      <c r="D50" s="1" t="str">
        <f>IF(Table2[[#This Row],[Gender Code]]=1,"Male","Female")</f>
        <v>Female</v>
      </c>
      <c r="E50" s="1">
        <v>1</v>
      </c>
      <c r="F50" s="1">
        <v>2</v>
      </c>
      <c r="G50" s="2">
        <v>17.901703455326199</v>
      </c>
      <c r="H50" s="1">
        <v>17</v>
      </c>
      <c r="I50" s="1">
        <v>0</v>
      </c>
      <c r="J50" s="1">
        <v>3</v>
      </c>
      <c r="K50" s="1">
        <v>0</v>
      </c>
      <c r="L50" s="1">
        <v>0</v>
      </c>
      <c r="M50" s="1">
        <v>1</v>
      </c>
      <c r="N50" s="1">
        <v>0</v>
      </c>
      <c r="O50" s="3">
        <v>2.0998851567205801</v>
      </c>
      <c r="P50" s="1">
        <v>3</v>
      </c>
      <c r="Q50" s="1" t="str">
        <f>IF(Table2[[#This Row],[GradeClass]]=4,"A",IF(Table2[[#This Row],[GradeClass]]=3,"B",IF(Table2[[#This Row],[GradeClass]]=2,"C",IF(Table2[[#This Row],[GradeClass]]=1,"D","F"))))</f>
        <v>B</v>
      </c>
    </row>
    <row r="51" spans="1:17" x14ac:dyDescent="0.3">
      <c r="A51" s="1">
        <v>1050</v>
      </c>
      <c r="B51" s="1">
        <v>16</v>
      </c>
      <c r="C51" s="1">
        <v>1</v>
      </c>
      <c r="D51" s="1" t="str">
        <f>IF(Table2[[#This Row],[Gender Code]]=1,"Male","Female")</f>
        <v>Male</v>
      </c>
      <c r="E51" s="1">
        <v>1</v>
      </c>
      <c r="F51" s="1">
        <v>1</v>
      </c>
      <c r="G51" s="2">
        <v>19.441069492469701</v>
      </c>
      <c r="H51" s="1">
        <v>16</v>
      </c>
      <c r="I51" s="1">
        <v>0</v>
      </c>
      <c r="J51" s="1">
        <v>4</v>
      </c>
      <c r="K51" s="1">
        <v>1</v>
      </c>
      <c r="L51" s="1">
        <v>0</v>
      </c>
      <c r="M51" s="1">
        <v>0</v>
      </c>
      <c r="N51" s="1">
        <v>0</v>
      </c>
      <c r="O51" s="3">
        <v>2.4610469629080902</v>
      </c>
      <c r="P51" s="1">
        <v>3</v>
      </c>
      <c r="Q51" s="1" t="str">
        <f>IF(Table2[[#This Row],[GradeClass]]=4,"A",IF(Table2[[#This Row],[GradeClass]]=3,"B",IF(Table2[[#This Row],[GradeClass]]=2,"C",IF(Table2[[#This Row],[GradeClass]]=1,"D","F"))))</f>
        <v>B</v>
      </c>
    </row>
    <row r="52" spans="1:17" x14ac:dyDescent="0.3">
      <c r="A52" s="1">
        <v>1051</v>
      </c>
      <c r="B52" s="1">
        <v>17</v>
      </c>
      <c r="C52" s="1">
        <v>1</v>
      </c>
      <c r="D52" s="1" t="str">
        <f>IF(Table2[[#This Row],[Gender Code]]=1,"Male","Female")</f>
        <v>Male</v>
      </c>
      <c r="E52" s="1">
        <v>2</v>
      </c>
      <c r="F52" s="1">
        <v>2</v>
      </c>
      <c r="G52" s="2">
        <v>17.186499021409499</v>
      </c>
      <c r="H52" s="1">
        <v>5</v>
      </c>
      <c r="I52" s="1">
        <v>0</v>
      </c>
      <c r="J52" s="1">
        <v>3</v>
      </c>
      <c r="K52" s="1">
        <v>0</v>
      </c>
      <c r="L52" s="1">
        <v>0</v>
      </c>
      <c r="M52" s="1">
        <v>0</v>
      </c>
      <c r="N52" s="1">
        <v>0</v>
      </c>
      <c r="O52" s="3">
        <v>2.9354771916946301</v>
      </c>
      <c r="P52" s="1">
        <v>2</v>
      </c>
      <c r="Q52" s="1" t="str">
        <f>IF(Table2[[#This Row],[GradeClass]]=4,"A",IF(Table2[[#This Row],[GradeClass]]=3,"B",IF(Table2[[#This Row],[GradeClass]]=2,"C",IF(Table2[[#This Row],[GradeClass]]=1,"D","F"))))</f>
        <v>C</v>
      </c>
    </row>
    <row r="53" spans="1:17" x14ac:dyDescent="0.3">
      <c r="A53" s="1">
        <v>1052</v>
      </c>
      <c r="B53" s="1">
        <v>16</v>
      </c>
      <c r="C53" s="1">
        <v>1</v>
      </c>
      <c r="D53" s="1" t="str">
        <f>IF(Table2[[#This Row],[Gender Code]]=1,"Male","Female")</f>
        <v>Male</v>
      </c>
      <c r="E53" s="1">
        <v>2</v>
      </c>
      <c r="F53" s="1">
        <v>0</v>
      </c>
      <c r="G53" s="2">
        <v>2.2003544225508702</v>
      </c>
      <c r="H53" s="1">
        <v>12</v>
      </c>
      <c r="I53" s="1">
        <v>1</v>
      </c>
      <c r="J53" s="1">
        <v>1</v>
      </c>
      <c r="K53" s="1">
        <v>1</v>
      </c>
      <c r="L53" s="1">
        <v>0</v>
      </c>
      <c r="M53" s="1">
        <v>1</v>
      </c>
      <c r="N53" s="1">
        <v>0</v>
      </c>
      <c r="O53" s="3">
        <v>1.9863780592187401</v>
      </c>
      <c r="P53" s="1">
        <v>4</v>
      </c>
      <c r="Q53" s="1" t="str">
        <f>IF(Table2[[#This Row],[GradeClass]]=4,"A",IF(Table2[[#This Row],[GradeClass]]=3,"B",IF(Table2[[#This Row],[GradeClass]]=2,"C",IF(Table2[[#This Row],[GradeClass]]=1,"D","F"))))</f>
        <v>A</v>
      </c>
    </row>
    <row r="54" spans="1:17" x14ac:dyDescent="0.3">
      <c r="A54" s="1">
        <v>1053</v>
      </c>
      <c r="B54" s="1">
        <v>17</v>
      </c>
      <c r="C54" s="1">
        <v>1</v>
      </c>
      <c r="D54" s="1" t="str">
        <f>IF(Table2[[#This Row],[Gender Code]]=1,"Male","Female")</f>
        <v>Male</v>
      </c>
      <c r="E54" s="1">
        <v>0</v>
      </c>
      <c r="F54" s="1">
        <v>1</v>
      </c>
      <c r="G54" s="2">
        <v>18.948559961195802</v>
      </c>
      <c r="H54" s="1">
        <v>22</v>
      </c>
      <c r="I54" s="1">
        <v>0</v>
      </c>
      <c r="J54" s="1">
        <v>4</v>
      </c>
      <c r="K54" s="1">
        <v>0</v>
      </c>
      <c r="L54" s="1">
        <v>0</v>
      </c>
      <c r="M54" s="1">
        <v>1</v>
      </c>
      <c r="N54" s="1">
        <v>0</v>
      </c>
      <c r="O54" s="3">
        <v>1.57154419139928</v>
      </c>
      <c r="P54" s="1">
        <v>4</v>
      </c>
      <c r="Q54" s="1" t="str">
        <f>IF(Table2[[#This Row],[GradeClass]]=4,"A",IF(Table2[[#This Row],[GradeClass]]=3,"B",IF(Table2[[#This Row],[GradeClass]]=2,"C",IF(Table2[[#This Row],[GradeClass]]=1,"D","F"))))</f>
        <v>A</v>
      </c>
    </row>
    <row r="55" spans="1:17" x14ac:dyDescent="0.3">
      <c r="A55" s="1">
        <v>1054</v>
      </c>
      <c r="B55" s="1">
        <v>18</v>
      </c>
      <c r="C55" s="1">
        <v>0</v>
      </c>
      <c r="D55" s="1" t="str">
        <f>IF(Table2[[#This Row],[Gender Code]]=1,"Male","Female")</f>
        <v>Female</v>
      </c>
      <c r="E55" s="1">
        <v>0</v>
      </c>
      <c r="F55" s="1">
        <v>2</v>
      </c>
      <c r="G55" s="2">
        <v>8.4671605470157196</v>
      </c>
      <c r="H55" s="1">
        <v>13</v>
      </c>
      <c r="I55" s="1">
        <v>0</v>
      </c>
      <c r="J55" s="1">
        <v>1</v>
      </c>
      <c r="K55" s="1">
        <v>0</v>
      </c>
      <c r="L55" s="1">
        <v>1</v>
      </c>
      <c r="M55" s="1">
        <v>0</v>
      </c>
      <c r="N55" s="1">
        <v>0</v>
      </c>
      <c r="O55" s="3">
        <v>1.66431068966108</v>
      </c>
      <c r="P55" s="1">
        <v>4</v>
      </c>
      <c r="Q55" s="1" t="str">
        <f>IF(Table2[[#This Row],[GradeClass]]=4,"A",IF(Table2[[#This Row],[GradeClass]]=3,"B",IF(Table2[[#This Row],[GradeClass]]=2,"C",IF(Table2[[#This Row],[GradeClass]]=1,"D","F"))))</f>
        <v>A</v>
      </c>
    </row>
    <row r="56" spans="1:17" x14ac:dyDescent="0.3">
      <c r="A56" s="1">
        <v>1055</v>
      </c>
      <c r="B56" s="1">
        <v>17</v>
      </c>
      <c r="C56" s="1">
        <v>0</v>
      </c>
      <c r="D56" s="1" t="str">
        <f>IF(Table2[[#This Row],[Gender Code]]=1,"Male","Female")</f>
        <v>Female</v>
      </c>
      <c r="E56" s="1">
        <v>0</v>
      </c>
      <c r="F56" s="1">
        <v>0</v>
      </c>
      <c r="G56" s="2">
        <v>0.186205815247073</v>
      </c>
      <c r="H56" s="1">
        <v>29</v>
      </c>
      <c r="I56" s="1">
        <v>1</v>
      </c>
      <c r="J56" s="1">
        <v>2</v>
      </c>
      <c r="K56" s="1">
        <v>1</v>
      </c>
      <c r="L56" s="1">
        <v>1</v>
      </c>
      <c r="M56" s="1">
        <v>0</v>
      </c>
      <c r="N56" s="1">
        <v>0</v>
      </c>
      <c r="O56" s="3">
        <v>0.75625916657419201</v>
      </c>
      <c r="P56" s="1">
        <v>4</v>
      </c>
      <c r="Q56" s="1" t="str">
        <f>IF(Table2[[#This Row],[GradeClass]]=4,"A",IF(Table2[[#This Row],[GradeClass]]=3,"B",IF(Table2[[#This Row],[GradeClass]]=2,"C",IF(Table2[[#This Row],[GradeClass]]=1,"D","F"))))</f>
        <v>A</v>
      </c>
    </row>
    <row r="57" spans="1:17" x14ac:dyDescent="0.3">
      <c r="A57" s="1">
        <v>1056</v>
      </c>
      <c r="B57" s="1">
        <v>18</v>
      </c>
      <c r="C57" s="1">
        <v>0</v>
      </c>
      <c r="D57" s="1" t="str">
        <f>IF(Table2[[#This Row],[Gender Code]]=1,"Male","Female")</f>
        <v>Female</v>
      </c>
      <c r="E57" s="1">
        <v>0</v>
      </c>
      <c r="F57" s="1">
        <v>1</v>
      </c>
      <c r="G57" s="2">
        <v>8.8478748149638697</v>
      </c>
      <c r="H57" s="1">
        <v>25</v>
      </c>
      <c r="I57" s="1">
        <v>0</v>
      </c>
      <c r="J57" s="1">
        <v>2</v>
      </c>
      <c r="K57" s="1">
        <v>0</v>
      </c>
      <c r="L57" s="1">
        <v>1</v>
      </c>
      <c r="M57" s="1">
        <v>0</v>
      </c>
      <c r="N57" s="1">
        <v>0</v>
      </c>
      <c r="O57" s="3">
        <v>0.80276953923420702</v>
      </c>
      <c r="P57" s="1">
        <v>4</v>
      </c>
      <c r="Q57" s="1" t="str">
        <f>IF(Table2[[#This Row],[GradeClass]]=4,"A",IF(Table2[[#This Row],[GradeClass]]=3,"B",IF(Table2[[#This Row],[GradeClass]]=2,"C",IF(Table2[[#This Row],[GradeClass]]=1,"D","F"))))</f>
        <v>A</v>
      </c>
    </row>
    <row r="58" spans="1:17" x14ac:dyDescent="0.3">
      <c r="A58" s="1">
        <v>1057</v>
      </c>
      <c r="B58" s="1">
        <v>18</v>
      </c>
      <c r="C58" s="1">
        <v>1</v>
      </c>
      <c r="D58" s="1" t="str">
        <f>IF(Table2[[#This Row],[Gender Code]]=1,"Male","Female")</f>
        <v>Male</v>
      </c>
      <c r="E58" s="1">
        <v>0</v>
      </c>
      <c r="F58" s="1">
        <v>4</v>
      </c>
      <c r="G58" s="2">
        <v>0.92138339350935095</v>
      </c>
      <c r="H58" s="1">
        <v>20</v>
      </c>
      <c r="I58" s="1">
        <v>0</v>
      </c>
      <c r="J58" s="1">
        <v>2</v>
      </c>
      <c r="K58" s="1">
        <v>0</v>
      </c>
      <c r="L58" s="1">
        <v>1</v>
      </c>
      <c r="M58" s="1">
        <v>1</v>
      </c>
      <c r="N58" s="1">
        <v>0</v>
      </c>
      <c r="O58" s="3">
        <v>1.3423871779577301</v>
      </c>
      <c r="P58" s="1">
        <v>4</v>
      </c>
      <c r="Q58" s="1" t="str">
        <f>IF(Table2[[#This Row],[GradeClass]]=4,"A",IF(Table2[[#This Row],[GradeClass]]=3,"B",IF(Table2[[#This Row],[GradeClass]]=2,"C",IF(Table2[[#This Row],[GradeClass]]=1,"D","F"))))</f>
        <v>A</v>
      </c>
    </row>
    <row r="59" spans="1:17" x14ac:dyDescent="0.3">
      <c r="A59" s="1">
        <v>1058</v>
      </c>
      <c r="B59" s="1">
        <v>15</v>
      </c>
      <c r="C59" s="1">
        <v>0</v>
      </c>
      <c r="D59" s="1" t="str">
        <f>IF(Table2[[#This Row],[Gender Code]]=1,"Male","Female")</f>
        <v>Female</v>
      </c>
      <c r="E59" s="1">
        <v>0</v>
      </c>
      <c r="F59" s="1">
        <v>4</v>
      </c>
      <c r="G59" s="2">
        <v>10.8775584232223</v>
      </c>
      <c r="H59" s="1">
        <v>29</v>
      </c>
      <c r="I59" s="1">
        <v>0</v>
      </c>
      <c r="J59" s="1">
        <v>3</v>
      </c>
      <c r="K59" s="1">
        <v>1</v>
      </c>
      <c r="L59" s="1">
        <v>0</v>
      </c>
      <c r="M59" s="1">
        <v>0</v>
      </c>
      <c r="N59" s="1">
        <v>0</v>
      </c>
      <c r="O59" s="3">
        <v>0.28657128828662198</v>
      </c>
      <c r="P59" s="1">
        <v>4</v>
      </c>
      <c r="Q59" s="1" t="str">
        <f>IF(Table2[[#This Row],[GradeClass]]=4,"A",IF(Table2[[#This Row],[GradeClass]]=3,"B",IF(Table2[[#This Row],[GradeClass]]=2,"C",IF(Table2[[#This Row],[GradeClass]]=1,"D","F"))))</f>
        <v>A</v>
      </c>
    </row>
    <row r="60" spans="1:17" x14ac:dyDescent="0.3">
      <c r="A60" s="1">
        <v>1059</v>
      </c>
      <c r="B60" s="1">
        <v>17</v>
      </c>
      <c r="C60" s="1">
        <v>0</v>
      </c>
      <c r="D60" s="1" t="str">
        <f>IF(Table2[[#This Row],[Gender Code]]=1,"Male","Female")</f>
        <v>Female</v>
      </c>
      <c r="E60" s="1">
        <v>0</v>
      </c>
      <c r="F60" s="1">
        <v>1</v>
      </c>
      <c r="G60" s="2">
        <v>6.7710805487410202</v>
      </c>
      <c r="H60" s="1">
        <v>9</v>
      </c>
      <c r="I60" s="1">
        <v>1</v>
      </c>
      <c r="J60" s="1">
        <v>3</v>
      </c>
      <c r="K60" s="1">
        <v>0</v>
      </c>
      <c r="L60" s="1">
        <v>1</v>
      </c>
      <c r="M60" s="1">
        <v>0</v>
      </c>
      <c r="N60" s="1">
        <v>0</v>
      </c>
      <c r="O60" s="3">
        <v>2.6138386936736699</v>
      </c>
      <c r="P60" s="1">
        <v>2</v>
      </c>
      <c r="Q60" s="1" t="str">
        <f>IF(Table2[[#This Row],[GradeClass]]=4,"A",IF(Table2[[#This Row],[GradeClass]]=3,"B",IF(Table2[[#This Row],[GradeClass]]=2,"C",IF(Table2[[#This Row],[GradeClass]]=1,"D","F"))))</f>
        <v>C</v>
      </c>
    </row>
    <row r="61" spans="1:17" x14ac:dyDescent="0.3">
      <c r="A61" s="1">
        <v>1060</v>
      </c>
      <c r="B61" s="1">
        <v>15</v>
      </c>
      <c r="C61" s="1">
        <v>1</v>
      </c>
      <c r="D61" s="1" t="str">
        <f>IF(Table2[[#This Row],[Gender Code]]=1,"Male","Female")</f>
        <v>Male</v>
      </c>
      <c r="E61" s="1">
        <v>3</v>
      </c>
      <c r="F61" s="1">
        <v>0</v>
      </c>
      <c r="G61" s="2">
        <v>9.4686986718809703</v>
      </c>
      <c r="H61" s="1">
        <v>23</v>
      </c>
      <c r="I61" s="1">
        <v>0</v>
      </c>
      <c r="J61" s="1">
        <v>3</v>
      </c>
      <c r="K61" s="1">
        <v>0</v>
      </c>
      <c r="L61" s="1">
        <v>1</v>
      </c>
      <c r="M61" s="1">
        <v>0</v>
      </c>
      <c r="N61" s="1">
        <v>0</v>
      </c>
      <c r="O61" s="3">
        <v>0.92901255462593602</v>
      </c>
      <c r="P61" s="1">
        <v>4</v>
      </c>
      <c r="Q61" s="1" t="str">
        <f>IF(Table2[[#This Row],[GradeClass]]=4,"A",IF(Table2[[#This Row],[GradeClass]]=3,"B",IF(Table2[[#This Row],[GradeClass]]=2,"C",IF(Table2[[#This Row],[GradeClass]]=1,"D","F"))))</f>
        <v>A</v>
      </c>
    </row>
    <row r="62" spans="1:17" x14ac:dyDescent="0.3">
      <c r="A62" s="1">
        <v>1061</v>
      </c>
      <c r="B62" s="1">
        <v>17</v>
      </c>
      <c r="C62" s="1">
        <v>1</v>
      </c>
      <c r="D62" s="1" t="str">
        <f>IF(Table2[[#This Row],[Gender Code]]=1,"Male","Female")</f>
        <v>Male</v>
      </c>
      <c r="E62" s="1">
        <v>1</v>
      </c>
      <c r="F62" s="1">
        <v>1</v>
      </c>
      <c r="G62" s="2">
        <v>12.263407214862299</v>
      </c>
      <c r="H62" s="1">
        <v>10</v>
      </c>
      <c r="I62" s="1">
        <v>0</v>
      </c>
      <c r="J62" s="1">
        <v>0</v>
      </c>
      <c r="K62" s="1">
        <v>1</v>
      </c>
      <c r="L62" s="1">
        <v>0</v>
      </c>
      <c r="M62" s="1">
        <v>1</v>
      </c>
      <c r="N62" s="1">
        <v>0</v>
      </c>
      <c r="O62" s="3">
        <v>1.8927586959265901</v>
      </c>
      <c r="P62" s="1">
        <v>4</v>
      </c>
      <c r="Q62" s="1" t="str">
        <f>IF(Table2[[#This Row],[GradeClass]]=4,"A",IF(Table2[[#This Row],[GradeClass]]=3,"B",IF(Table2[[#This Row],[GradeClass]]=2,"C",IF(Table2[[#This Row],[GradeClass]]=1,"D","F"))))</f>
        <v>A</v>
      </c>
    </row>
    <row r="63" spans="1:17" x14ac:dyDescent="0.3">
      <c r="A63" s="1">
        <v>1062</v>
      </c>
      <c r="B63" s="1">
        <v>17</v>
      </c>
      <c r="C63" s="1">
        <v>0</v>
      </c>
      <c r="D63" s="1" t="str">
        <f>IF(Table2[[#This Row],[Gender Code]]=1,"Male","Female")</f>
        <v>Female</v>
      </c>
      <c r="E63" s="1">
        <v>0</v>
      </c>
      <c r="F63" s="1">
        <v>1</v>
      </c>
      <c r="G63" s="2">
        <v>17.3760219163564</v>
      </c>
      <c r="H63" s="1">
        <v>12</v>
      </c>
      <c r="I63" s="1">
        <v>0</v>
      </c>
      <c r="J63" s="1">
        <v>2</v>
      </c>
      <c r="K63" s="1">
        <v>0</v>
      </c>
      <c r="L63" s="1">
        <v>0</v>
      </c>
      <c r="M63" s="1">
        <v>1</v>
      </c>
      <c r="N63" s="1">
        <v>0</v>
      </c>
      <c r="O63" s="3">
        <v>2.3312615493087501</v>
      </c>
      <c r="P63" s="1">
        <v>3</v>
      </c>
      <c r="Q63" s="1" t="str">
        <f>IF(Table2[[#This Row],[GradeClass]]=4,"A",IF(Table2[[#This Row],[GradeClass]]=3,"B",IF(Table2[[#This Row],[GradeClass]]=2,"C",IF(Table2[[#This Row],[GradeClass]]=1,"D","F"))))</f>
        <v>B</v>
      </c>
    </row>
    <row r="64" spans="1:17" x14ac:dyDescent="0.3">
      <c r="A64" s="1">
        <v>1063</v>
      </c>
      <c r="B64" s="1">
        <v>15</v>
      </c>
      <c r="C64" s="1">
        <v>0</v>
      </c>
      <c r="D64" s="1" t="str">
        <f>IF(Table2[[#This Row],[Gender Code]]=1,"Male","Female")</f>
        <v>Female</v>
      </c>
      <c r="E64" s="1">
        <v>1</v>
      </c>
      <c r="F64" s="1">
        <v>3</v>
      </c>
      <c r="G64" s="2">
        <v>13.2380315294385</v>
      </c>
      <c r="H64" s="1">
        <v>11</v>
      </c>
      <c r="I64" s="1">
        <v>0</v>
      </c>
      <c r="J64" s="1">
        <v>3</v>
      </c>
      <c r="K64" s="1">
        <v>0</v>
      </c>
      <c r="L64" s="1">
        <v>1</v>
      </c>
      <c r="M64" s="1">
        <v>0</v>
      </c>
      <c r="N64" s="1">
        <v>0</v>
      </c>
      <c r="O64" s="3">
        <v>2.23423847260023</v>
      </c>
      <c r="P64" s="1">
        <v>3</v>
      </c>
      <c r="Q64" s="1" t="str">
        <f>IF(Table2[[#This Row],[GradeClass]]=4,"A",IF(Table2[[#This Row],[GradeClass]]=3,"B",IF(Table2[[#This Row],[GradeClass]]=2,"C",IF(Table2[[#This Row],[GradeClass]]=1,"D","F"))))</f>
        <v>B</v>
      </c>
    </row>
    <row r="65" spans="1:17" x14ac:dyDescent="0.3">
      <c r="A65" s="1">
        <v>1064</v>
      </c>
      <c r="B65" s="1">
        <v>15</v>
      </c>
      <c r="C65" s="1">
        <v>0</v>
      </c>
      <c r="D65" s="1" t="str">
        <f>IF(Table2[[#This Row],[Gender Code]]=1,"Male","Female")</f>
        <v>Female</v>
      </c>
      <c r="E65" s="1">
        <v>0</v>
      </c>
      <c r="F65" s="1">
        <v>1</v>
      </c>
      <c r="G65" s="2">
        <v>8.6809773695636103</v>
      </c>
      <c r="H65" s="1">
        <v>8</v>
      </c>
      <c r="I65" s="1">
        <v>0</v>
      </c>
      <c r="J65" s="1">
        <v>2</v>
      </c>
      <c r="K65" s="1">
        <v>0</v>
      </c>
      <c r="L65" s="1">
        <v>1</v>
      </c>
      <c r="M65" s="1">
        <v>0</v>
      </c>
      <c r="N65" s="1">
        <v>0</v>
      </c>
      <c r="O65" s="3">
        <v>2.3858282190764601</v>
      </c>
      <c r="P65" s="1">
        <v>3</v>
      </c>
      <c r="Q65" s="1" t="str">
        <f>IF(Table2[[#This Row],[GradeClass]]=4,"A",IF(Table2[[#This Row],[GradeClass]]=3,"B",IF(Table2[[#This Row],[GradeClass]]=2,"C",IF(Table2[[#This Row],[GradeClass]]=1,"D","F"))))</f>
        <v>B</v>
      </c>
    </row>
    <row r="66" spans="1:17" x14ac:dyDescent="0.3">
      <c r="A66" s="1">
        <v>1065</v>
      </c>
      <c r="B66" s="1">
        <v>17</v>
      </c>
      <c r="C66" s="1">
        <v>0</v>
      </c>
      <c r="D66" s="1" t="str">
        <f>IF(Table2[[#This Row],[Gender Code]]=1,"Male","Female")</f>
        <v>Female</v>
      </c>
      <c r="E66" s="1">
        <v>0</v>
      </c>
      <c r="F66" s="1">
        <v>2</v>
      </c>
      <c r="G66" s="2">
        <v>16.388557073407299</v>
      </c>
      <c r="H66" s="1">
        <v>3</v>
      </c>
      <c r="I66" s="1">
        <v>1</v>
      </c>
      <c r="J66" s="1">
        <v>4</v>
      </c>
      <c r="K66" s="1">
        <v>0</v>
      </c>
      <c r="L66" s="1">
        <v>0</v>
      </c>
      <c r="M66" s="1">
        <v>0</v>
      </c>
      <c r="N66" s="1">
        <v>0</v>
      </c>
      <c r="O66" s="3">
        <v>3.3473567435078002</v>
      </c>
      <c r="P66" s="1">
        <v>1</v>
      </c>
      <c r="Q66" s="1" t="str">
        <f>IF(Table2[[#This Row],[GradeClass]]=4,"A",IF(Table2[[#This Row],[GradeClass]]=3,"B",IF(Table2[[#This Row],[GradeClass]]=2,"C",IF(Table2[[#This Row],[GradeClass]]=1,"D","F"))))</f>
        <v>D</v>
      </c>
    </row>
    <row r="67" spans="1:17" x14ac:dyDescent="0.3">
      <c r="A67" s="1">
        <v>1066</v>
      </c>
      <c r="B67" s="1">
        <v>16</v>
      </c>
      <c r="C67" s="1">
        <v>0</v>
      </c>
      <c r="D67" s="1" t="str">
        <f>IF(Table2[[#This Row],[Gender Code]]=1,"Male","Female")</f>
        <v>Female</v>
      </c>
      <c r="E67" s="1">
        <v>1</v>
      </c>
      <c r="F67" s="1">
        <v>1</v>
      </c>
      <c r="G67" s="2">
        <v>18.1116427514626</v>
      </c>
      <c r="H67" s="1">
        <v>6</v>
      </c>
      <c r="I67" s="1">
        <v>1</v>
      </c>
      <c r="J67" s="1">
        <v>3</v>
      </c>
      <c r="K67" s="1">
        <v>1</v>
      </c>
      <c r="L67" s="1">
        <v>0</v>
      </c>
      <c r="M67" s="1">
        <v>0</v>
      </c>
      <c r="N67" s="1">
        <v>0</v>
      </c>
      <c r="O67" s="3">
        <v>3.2618553073332901</v>
      </c>
      <c r="P67" s="1">
        <v>1</v>
      </c>
      <c r="Q67" s="1" t="str">
        <f>IF(Table2[[#This Row],[GradeClass]]=4,"A",IF(Table2[[#This Row],[GradeClass]]=3,"B",IF(Table2[[#This Row],[GradeClass]]=2,"C",IF(Table2[[#This Row],[GradeClass]]=1,"D","F"))))</f>
        <v>D</v>
      </c>
    </row>
    <row r="68" spans="1:17" x14ac:dyDescent="0.3">
      <c r="A68" s="1">
        <v>1067</v>
      </c>
      <c r="B68" s="1">
        <v>18</v>
      </c>
      <c r="C68" s="1">
        <v>0</v>
      </c>
      <c r="D68" s="1" t="str">
        <f>IF(Table2[[#This Row],[Gender Code]]=1,"Male","Female")</f>
        <v>Female</v>
      </c>
      <c r="E68" s="1">
        <v>0</v>
      </c>
      <c r="F68" s="1">
        <v>4</v>
      </c>
      <c r="G68" s="2">
        <v>2.3951993286439399</v>
      </c>
      <c r="H68" s="1">
        <v>23</v>
      </c>
      <c r="I68" s="1">
        <v>0</v>
      </c>
      <c r="J68" s="1">
        <v>3</v>
      </c>
      <c r="K68" s="1">
        <v>0</v>
      </c>
      <c r="L68" s="1">
        <v>1</v>
      </c>
      <c r="M68" s="1">
        <v>0</v>
      </c>
      <c r="N68" s="1">
        <v>0</v>
      </c>
      <c r="O68" s="3">
        <v>1.0396238791477099</v>
      </c>
      <c r="P68" s="1">
        <v>4</v>
      </c>
      <c r="Q68" s="1" t="str">
        <f>IF(Table2[[#This Row],[GradeClass]]=4,"A",IF(Table2[[#This Row],[GradeClass]]=3,"B",IF(Table2[[#This Row],[GradeClass]]=2,"C",IF(Table2[[#This Row],[GradeClass]]=1,"D","F"))))</f>
        <v>A</v>
      </c>
    </row>
    <row r="69" spans="1:17" x14ac:dyDescent="0.3">
      <c r="A69" s="1">
        <v>1068</v>
      </c>
      <c r="B69" s="1">
        <v>15</v>
      </c>
      <c r="C69" s="1">
        <v>1</v>
      </c>
      <c r="D69" s="1" t="str">
        <f>IF(Table2[[#This Row],[Gender Code]]=1,"Male","Female")</f>
        <v>Male</v>
      </c>
      <c r="E69" s="1">
        <v>0</v>
      </c>
      <c r="F69" s="1">
        <v>1</v>
      </c>
      <c r="G69" s="2">
        <v>10.638659551055801</v>
      </c>
      <c r="H69" s="1">
        <v>28</v>
      </c>
      <c r="I69" s="1">
        <v>0</v>
      </c>
      <c r="J69" s="1">
        <v>0</v>
      </c>
      <c r="K69" s="1">
        <v>0</v>
      </c>
      <c r="L69" s="1">
        <v>1</v>
      </c>
      <c r="M69" s="1">
        <v>0</v>
      </c>
      <c r="N69" s="1">
        <v>0</v>
      </c>
      <c r="O69" s="3">
        <v>2.7818624732467899E-2</v>
      </c>
      <c r="P69" s="1">
        <v>4</v>
      </c>
      <c r="Q69" s="1" t="str">
        <f>IF(Table2[[#This Row],[GradeClass]]=4,"A",IF(Table2[[#This Row],[GradeClass]]=3,"B",IF(Table2[[#This Row],[GradeClass]]=2,"C",IF(Table2[[#This Row],[GradeClass]]=1,"D","F"))))</f>
        <v>A</v>
      </c>
    </row>
    <row r="70" spans="1:17" x14ac:dyDescent="0.3">
      <c r="A70" s="1">
        <v>1069</v>
      </c>
      <c r="B70" s="1">
        <v>18</v>
      </c>
      <c r="C70" s="1">
        <v>1</v>
      </c>
      <c r="D70" s="1" t="str">
        <f>IF(Table2[[#This Row],[Gender Code]]=1,"Male","Female")</f>
        <v>Male</v>
      </c>
      <c r="E70" s="1">
        <v>3</v>
      </c>
      <c r="F70" s="1">
        <v>2</v>
      </c>
      <c r="G70" s="2">
        <v>5.6902391948488802</v>
      </c>
      <c r="H70" s="1">
        <v>21</v>
      </c>
      <c r="I70" s="1">
        <v>1</v>
      </c>
      <c r="J70" s="1">
        <v>3</v>
      </c>
      <c r="K70" s="1">
        <v>0</v>
      </c>
      <c r="L70" s="1">
        <v>0</v>
      </c>
      <c r="M70" s="1">
        <v>1</v>
      </c>
      <c r="N70" s="1">
        <v>0</v>
      </c>
      <c r="O70" s="3">
        <v>1.3299645378768701</v>
      </c>
      <c r="P70" s="1">
        <v>4</v>
      </c>
      <c r="Q70" s="1" t="str">
        <f>IF(Table2[[#This Row],[GradeClass]]=4,"A",IF(Table2[[#This Row],[GradeClass]]=3,"B",IF(Table2[[#This Row],[GradeClass]]=2,"C",IF(Table2[[#This Row],[GradeClass]]=1,"D","F"))))</f>
        <v>A</v>
      </c>
    </row>
    <row r="71" spans="1:17" x14ac:dyDescent="0.3">
      <c r="A71" s="1">
        <v>1070</v>
      </c>
      <c r="B71" s="1">
        <v>16</v>
      </c>
      <c r="C71" s="1">
        <v>1</v>
      </c>
      <c r="D71" s="1" t="str">
        <f>IF(Table2[[#This Row],[Gender Code]]=1,"Male","Female")</f>
        <v>Male</v>
      </c>
      <c r="E71" s="1">
        <v>2</v>
      </c>
      <c r="F71" s="1">
        <v>1</v>
      </c>
      <c r="G71" s="2">
        <v>0.94122395753894805</v>
      </c>
      <c r="H71" s="1">
        <v>1</v>
      </c>
      <c r="I71" s="1">
        <v>0</v>
      </c>
      <c r="J71" s="1">
        <v>4</v>
      </c>
      <c r="K71" s="1">
        <v>0</v>
      </c>
      <c r="L71" s="1">
        <v>0</v>
      </c>
      <c r="M71" s="1">
        <v>1</v>
      </c>
      <c r="N71" s="1">
        <v>0</v>
      </c>
      <c r="O71" s="3">
        <v>3.28391652189738</v>
      </c>
      <c r="P71" s="1">
        <v>1</v>
      </c>
      <c r="Q71" s="1" t="str">
        <f>IF(Table2[[#This Row],[GradeClass]]=4,"A",IF(Table2[[#This Row],[GradeClass]]=3,"B",IF(Table2[[#This Row],[GradeClass]]=2,"C",IF(Table2[[#This Row],[GradeClass]]=1,"D","F"))))</f>
        <v>D</v>
      </c>
    </row>
    <row r="72" spans="1:17" x14ac:dyDescent="0.3">
      <c r="A72" s="1">
        <v>1071</v>
      </c>
      <c r="B72" s="1">
        <v>16</v>
      </c>
      <c r="C72" s="1">
        <v>0</v>
      </c>
      <c r="D72" s="1" t="str">
        <f>IF(Table2[[#This Row],[Gender Code]]=1,"Male","Female")</f>
        <v>Female</v>
      </c>
      <c r="E72" s="1">
        <v>1</v>
      </c>
      <c r="F72" s="1">
        <v>2</v>
      </c>
      <c r="G72" s="2">
        <v>13.370933902279701</v>
      </c>
      <c r="H72" s="1">
        <v>6</v>
      </c>
      <c r="I72" s="1">
        <v>0</v>
      </c>
      <c r="J72" s="1">
        <v>2</v>
      </c>
      <c r="K72" s="1">
        <v>1</v>
      </c>
      <c r="L72" s="1">
        <v>0</v>
      </c>
      <c r="M72" s="1">
        <v>0</v>
      </c>
      <c r="N72" s="1">
        <v>0</v>
      </c>
      <c r="O72" s="3">
        <v>2.9374541823168601</v>
      </c>
      <c r="P72" s="1">
        <v>2</v>
      </c>
      <c r="Q72" s="1" t="str">
        <f>IF(Table2[[#This Row],[GradeClass]]=4,"A",IF(Table2[[#This Row],[GradeClass]]=3,"B",IF(Table2[[#This Row],[GradeClass]]=2,"C",IF(Table2[[#This Row],[GradeClass]]=1,"D","F"))))</f>
        <v>C</v>
      </c>
    </row>
    <row r="73" spans="1:17" x14ac:dyDescent="0.3">
      <c r="A73" s="1">
        <v>1072</v>
      </c>
      <c r="B73" s="1">
        <v>16</v>
      </c>
      <c r="C73" s="1">
        <v>1</v>
      </c>
      <c r="D73" s="1" t="str">
        <f>IF(Table2[[#This Row],[Gender Code]]=1,"Male","Female")</f>
        <v>Male</v>
      </c>
      <c r="E73" s="1">
        <v>1</v>
      </c>
      <c r="F73" s="1">
        <v>1</v>
      </c>
      <c r="G73" s="2">
        <v>17.255415549184502</v>
      </c>
      <c r="H73" s="1">
        <v>28</v>
      </c>
      <c r="I73" s="1">
        <v>0</v>
      </c>
      <c r="J73" s="1">
        <v>3</v>
      </c>
      <c r="K73" s="1">
        <v>0</v>
      </c>
      <c r="L73" s="1">
        <v>0</v>
      </c>
      <c r="M73" s="1">
        <v>1</v>
      </c>
      <c r="N73" s="1">
        <v>1</v>
      </c>
      <c r="O73" s="3">
        <v>0.73886820280526</v>
      </c>
      <c r="P73" s="1">
        <v>4</v>
      </c>
      <c r="Q73" s="1" t="str">
        <f>IF(Table2[[#This Row],[GradeClass]]=4,"A",IF(Table2[[#This Row],[GradeClass]]=3,"B",IF(Table2[[#This Row],[GradeClass]]=2,"C",IF(Table2[[#This Row],[GradeClass]]=1,"D","F"))))</f>
        <v>A</v>
      </c>
    </row>
    <row r="74" spans="1:17" x14ac:dyDescent="0.3">
      <c r="A74" s="1">
        <v>1073</v>
      </c>
      <c r="B74" s="1">
        <v>15</v>
      </c>
      <c r="C74" s="1">
        <v>0</v>
      </c>
      <c r="D74" s="1" t="str">
        <f>IF(Table2[[#This Row],[Gender Code]]=1,"Male","Female")</f>
        <v>Female</v>
      </c>
      <c r="E74" s="1">
        <v>1</v>
      </c>
      <c r="F74" s="1">
        <v>1</v>
      </c>
      <c r="G74" s="2">
        <v>3.2580530895478801</v>
      </c>
      <c r="H74" s="1">
        <v>8</v>
      </c>
      <c r="I74" s="1">
        <v>0</v>
      </c>
      <c r="J74" s="1">
        <v>2</v>
      </c>
      <c r="K74" s="1">
        <v>1</v>
      </c>
      <c r="L74" s="1">
        <v>1</v>
      </c>
      <c r="M74" s="1">
        <v>0</v>
      </c>
      <c r="N74" s="1">
        <v>0</v>
      </c>
      <c r="O74" s="3">
        <v>2.55680166283341</v>
      </c>
      <c r="P74" s="1">
        <v>2</v>
      </c>
      <c r="Q74" s="1" t="str">
        <f>IF(Table2[[#This Row],[GradeClass]]=4,"A",IF(Table2[[#This Row],[GradeClass]]=3,"B",IF(Table2[[#This Row],[GradeClass]]=2,"C",IF(Table2[[#This Row],[GradeClass]]=1,"D","F"))))</f>
        <v>C</v>
      </c>
    </row>
    <row r="75" spans="1:17" x14ac:dyDescent="0.3">
      <c r="A75" s="1">
        <v>1074</v>
      </c>
      <c r="B75" s="1">
        <v>16</v>
      </c>
      <c r="C75" s="1">
        <v>0</v>
      </c>
      <c r="D75" s="1" t="str">
        <f>IF(Table2[[#This Row],[Gender Code]]=1,"Male","Female")</f>
        <v>Female</v>
      </c>
      <c r="E75" s="1">
        <v>0</v>
      </c>
      <c r="F75" s="1">
        <v>3</v>
      </c>
      <c r="G75" s="2">
        <v>16.248273152477999</v>
      </c>
      <c r="H75" s="1">
        <v>4</v>
      </c>
      <c r="I75" s="1">
        <v>1</v>
      </c>
      <c r="J75" s="1">
        <v>2</v>
      </c>
      <c r="K75" s="1">
        <v>0</v>
      </c>
      <c r="L75" s="1">
        <v>0</v>
      </c>
      <c r="M75" s="1">
        <v>0</v>
      </c>
      <c r="N75" s="1">
        <v>0</v>
      </c>
      <c r="O75" s="3">
        <v>3.3009285689707899</v>
      </c>
      <c r="P75" s="1">
        <v>1</v>
      </c>
      <c r="Q75" s="1" t="str">
        <f>IF(Table2[[#This Row],[GradeClass]]=4,"A",IF(Table2[[#This Row],[GradeClass]]=3,"B",IF(Table2[[#This Row],[GradeClass]]=2,"C",IF(Table2[[#This Row],[GradeClass]]=1,"D","F"))))</f>
        <v>D</v>
      </c>
    </row>
    <row r="76" spans="1:17" x14ac:dyDescent="0.3">
      <c r="A76" s="1">
        <v>1075</v>
      </c>
      <c r="B76" s="1">
        <v>15</v>
      </c>
      <c r="C76" s="1">
        <v>1</v>
      </c>
      <c r="D76" s="1" t="str">
        <f>IF(Table2[[#This Row],[Gender Code]]=1,"Male","Female")</f>
        <v>Male</v>
      </c>
      <c r="E76" s="1">
        <v>0</v>
      </c>
      <c r="F76" s="1">
        <v>3</v>
      </c>
      <c r="G76" s="2">
        <v>17.067914670738801</v>
      </c>
      <c r="H76" s="1">
        <v>14</v>
      </c>
      <c r="I76" s="1">
        <v>0</v>
      </c>
      <c r="J76" s="1">
        <v>3</v>
      </c>
      <c r="K76" s="1">
        <v>1</v>
      </c>
      <c r="L76" s="1">
        <v>0</v>
      </c>
      <c r="M76" s="1">
        <v>1</v>
      </c>
      <c r="N76" s="1">
        <v>0</v>
      </c>
      <c r="O76" s="3">
        <v>2.2006829465605602</v>
      </c>
      <c r="P76" s="1">
        <v>3</v>
      </c>
      <c r="Q76" s="1" t="str">
        <f>IF(Table2[[#This Row],[GradeClass]]=4,"A",IF(Table2[[#This Row],[GradeClass]]=3,"B",IF(Table2[[#This Row],[GradeClass]]=2,"C",IF(Table2[[#This Row],[GradeClass]]=1,"D","F"))))</f>
        <v>B</v>
      </c>
    </row>
    <row r="77" spans="1:17" x14ac:dyDescent="0.3">
      <c r="A77" s="1">
        <v>1076</v>
      </c>
      <c r="B77" s="1">
        <v>16</v>
      </c>
      <c r="C77" s="1">
        <v>0</v>
      </c>
      <c r="D77" s="1" t="str">
        <f>IF(Table2[[#This Row],[Gender Code]]=1,"Male","Female")</f>
        <v>Female</v>
      </c>
      <c r="E77" s="1">
        <v>0</v>
      </c>
      <c r="F77" s="1">
        <v>3</v>
      </c>
      <c r="G77" s="2">
        <v>18.2868088533296</v>
      </c>
      <c r="H77" s="1">
        <v>17</v>
      </c>
      <c r="I77" s="1">
        <v>0</v>
      </c>
      <c r="J77" s="1">
        <v>3</v>
      </c>
      <c r="K77" s="1">
        <v>0</v>
      </c>
      <c r="L77" s="1">
        <v>1</v>
      </c>
      <c r="M77" s="1">
        <v>0</v>
      </c>
      <c r="N77" s="1">
        <v>0</v>
      </c>
      <c r="O77" s="3">
        <v>1.8558655731681899</v>
      </c>
      <c r="P77" s="1">
        <v>4</v>
      </c>
      <c r="Q77" s="1" t="str">
        <f>IF(Table2[[#This Row],[GradeClass]]=4,"A",IF(Table2[[#This Row],[GradeClass]]=3,"B",IF(Table2[[#This Row],[GradeClass]]=2,"C",IF(Table2[[#This Row],[GradeClass]]=1,"D","F"))))</f>
        <v>A</v>
      </c>
    </row>
    <row r="78" spans="1:17" x14ac:dyDescent="0.3">
      <c r="A78" s="1">
        <v>1077</v>
      </c>
      <c r="B78" s="1">
        <v>18</v>
      </c>
      <c r="C78" s="1">
        <v>0</v>
      </c>
      <c r="D78" s="1" t="str">
        <f>IF(Table2[[#This Row],[Gender Code]]=1,"Male","Female")</f>
        <v>Female</v>
      </c>
      <c r="E78" s="1">
        <v>0</v>
      </c>
      <c r="F78" s="1">
        <v>2</v>
      </c>
      <c r="G78" s="2">
        <v>5.3057017817210399</v>
      </c>
      <c r="H78" s="1">
        <v>3</v>
      </c>
      <c r="I78" s="1">
        <v>0</v>
      </c>
      <c r="J78" s="1">
        <v>3</v>
      </c>
      <c r="K78" s="1">
        <v>0</v>
      </c>
      <c r="L78" s="1">
        <v>0</v>
      </c>
      <c r="M78" s="1">
        <v>0</v>
      </c>
      <c r="N78" s="1">
        <v>0</v>
      </c>
      <c r="O78" s="3">
        <v>2.7344014944199899</v>
      </c>
      <c r="P78" s="1">
        <v>2</v>
      </c>
      <c r="Q78" s="1" t="str">
        <f>IF(Table2[[#This Row],[GradeClass]]=4,"A",IF(Table2[[#This Row],[GradeClass]]=3,"B",IF(Table2[[#This Row],[GradeClass]]=2,"C",IF(Table2[[#This Row],[GradeClass]]=1,"D","F"))))</f>
        <v>C</v>
      </c>
    </row>
    <row r="79" spans="1:17" x14ac:dyDescent="0.3">
      <c r="A79" s="1">
        <v>1078</v>
      </c>
      <c r="B79" s="1">
        <v>18</v>
      </c>
      <c r="C79" s="1">
        <v>1</v>
      </c>
      <c r="D79" s="1" t="str">
        <f>IF(Table2[[#This Row],[Gender Code]]=1,"Male","Female")</f>
        <v>Male</v>
      </c>
      <c r="E79" s="1">
        <v>1</v>
      </c>
      <c r="F79" s="1">
        <v>3</v>
      </c>
      <c r="G79" s="2">
        <v>18.079061303797701</v>
      </c>
      <c r="H79" s="1">
        <v>18</v>
      </c>
      <c r="I79" s="1">
        <v>1</v>
      </c>
      <c r="J79" s="1">
        <v>1</v>
      </c>
      <c r="K79" s="1">
        <v>1</v>
      </c>
      <c r="L79" s="1">
        <v>1</v>
      </c>
      <c r="M79" s="1">
        <v>0</v>
      </c>
      <c r="N79" s="1">
        <v>0</v>
      </c>
      <c r="O79" s="3">
        <v>2.1317372971872199</v>
      </c>
      <c r="P79" s="1">
        <v>3</v>
      </c>
      <c r="Q79" s="1" t="str">
        <f>IF(Table2[[#This Row],[GradeClass]]=4,"A",IF(Table2[[#This Row],[GradeClass]]=3,"B",IF(Table2[[#This Row],[GradeClass]]=2,"C",IF(Table2[[#This Row],[GradeClass]]=1,"D","F"))))</f>
        <v>B</v>
      </c>
    </row>
    <row r="80" spans="1:17" x14ac:dyDescent="0.3">
      <c r="A80" s="1">
        <v>1079</v>
      </c>
      <c r="B80" s="1">
        <v>17</v>
      </c>
      <c r="C80" s="1">
        <v>1</v>
      </c>
      <c r="D80" s="1" t="str">
        <f>IF(Table2[[#This Row],[Gender Code]]=1,"Male","Female")</f>
        <v>Male</v>
      </c>
      <c r="E80" s="1">
        <v>0</v>
      </c>
      <c r="F80" s="1">
        <v>0</v>
      </c>
      <c r="G80" s="2">
        <v>6.4132550947286404</v>
      </c>
      <c r="H80" s="1">
        <v>19</v>
      </c>
      <c r="I80" s="1">
        <v>0</v>
      </c>
      <c r="J80" s="1">
        <v>1</v>
      </c>
      <c r="K80" s="1">
        <v>0</v>
      </c>
      <c r="L80" s="1">
        <v>0</v>
      </c>
      <c r="M80" s="1">
        <v>0</v>
      </c>
      <c r="N80" s="1">
        <v>0</v>
      </c>
      <c r="O80" s="3">
        <v>0.97976991077528597</v>
      </c>
      <c r="P80" s="1">
        <v>4</v>
      </c>
      <c r="Q80" s="1" t="str">
        <f>IF(Table2[[#This Row],[GradeClass]]=4,"A",IF(Table2[[#This Row],[GradeClass]]=3,"B",IF(Table2[[#This Row],[GradeClass]]=2,"C",IF(Table2[[#This Row],[GradeClass]]=1,"D","F"))))</f>
        <v>A</v>
      </c>
    </row>
    <row r="81" spans="1:17" x14ac:dyDescent="0.3">
      <c r="A81" s="1">
        <v>1080</v>
      </c>
      <c r="B81" s="1">
        <v>18</v>
      </c>
      <c r="C81" s="1">
        <v>1</v>
      </c>
      <c r="D81" s="1" t="str">
        <f>IF(Table2[[#This Row],[Gender Code]]=1,"Male","Female")</f>
        <v>Male</v>
      </c>
      <c r="E81" s="1">
        <v>3</v>
      </c>
      <c r="F81" s="1">
        <v>1</v>
      </c>
      <c r="G81" s="2">
        <v>11.046760269110001</v>
      </c>
      <c r="H81" s="1">
        <v>25</v>
      </c>
      <c r="I81" s="1">
        <v>0</v>
      </c>
      <c r="J81" s="1">
        <v>3</v>
      </c>
      <c r="K81" s="1">
        <v>0</v>
      </c>
      <c r="L81" s="1">
        <v>1</v>
      </c>
      <c r="M81" s="1">
        <v>0</v>
      </c>
      <c r="N81" s="1">
        <v>0</v>
      </c>
      <c r="O81" s="3">
        <v>0.99432502355128705</v>
      </c>
      <c r="P81" s="1">
        <v>4</v>
      </c>
      <c r="Q81" s="1" t="str">
        <f>IF(Table2[[#This Row],[GradeClass]]=4,"A",IF(Table2[[#This Row],[GradeClass]]=3,"B",IF(Table2[[#This Row],[GradeClass]]=2,"C",IF(Table2[[#This Row],[GradeClass]]=1,"D","F"))))</f>
        <v>A</v>
      </c>
    </row>
    <row r="82" spans="1:17" x14ac:dyDescent="0.3">
      <c r="A82" s="1">
        <v>1081</v>
      </c>
      <c r="B82" s="1">
        <v>17</v>
      </c>
      <c r="C82" s="1">
        <v>0</v>
      </c>
      <c r="D82" s="1" t="str">
        <f>IF(Table2[[#This Row],[Gender Code]]=1,"Male","Female")</f>
        <v>Female</v>
      </c>
      <c r="E82" s="1">
        <v>3</v>
      </c>
      <c r="F82" s="1">
        <v>1</v>
      </c>
      <c r="G82" s="2">
        <v>1.01014941664564</v>
      </c>
      <c r="H82" s="1">
        <v>6</v>
      </c>
      <c r="I82" s="1">
        <v>0</v>
      </c>
      <c r="J82" s="1">
        <v>1</v>
      </c>
      <c r="K82" s="1">
        <v>0</v>
      </c>
      <c r="L82" s="1">
        <v>1</v>
      </c>
      <c r="M82" s="1">
        <v>0</v>
      </c>
      <c r="N82" s="1">
        <v>0</v>
      </c>
      <c r="O82" s="3">
        <v>2.0746999767813299</v>
      </c>
      <c r="P82" s="1">
        <v>3</v>
      </c>
      <c r="Q82" s="1" t="str">
        <f>IF(Table2[[#This Row],[GradeClass]]=4,"A",IF(Table2[[#This Row],[GradeClass]]=3,"B",IF(Table2[[#This Row],[GradeClass]]=2,"C",IF(Table2[[#This Row],[GradeClass]]=1,"D","F"))))</f>
        <v>B</v>
      </c>
    </row>
    <row r="83" spans="1:17" x14ac:dyDescent="0.3">
      <c r="A83" s="1">
        <v>1082</v>
      </c>
      <c r="B83" s="1">
        <v>18</v>
      </c>
      <c r="C83" s="1">
        <v>1</v>
      </c>
      <c r="D83" s="1" t="str">
        <f>IF(Table2[[#This Row],[Gender Code]]=1,"Male","Female")</f>
        <v>Male</v>
      </c>
      <c r="E83" s="1">
        <v>2</v>
      </c>
      <c r="F83" s="1">
        <v>2</v>
      </c>
      <c r="G83" s="2">
        <v>0.87762176737487196</v>
      </c>
      <c r="H83" s="1">
        <v>25</v>
      </c>
      <c r="I83" s="1">
        <v>0</v>
      </c>
      <c r="J83" s="1">
        <v>2</v>
      </c>
      <c r="K83" s="1">
        <v>0</v>
      </c>
      <c r="L83" s="1">
        <v>0</v>
      </c>
      <c r="M83" s="1">
        <v>0</v>
      </c>
      <c r="N83" s="1">
        <v>0</v>
      </c>
      <c r="O83" s="3">
        <v>0.50050803580465597</v>
      </c>
      <c r="P83" s="1">
        <v>4</v>
      </c>
      <c r="Q83" s="1" t="str">
        <f>IF(Table2[[#This Row],[GradeClass]]=4,"A",IF(Table2[[#This Row],[GradeClass]]=3,"B",IF(Table2[[#This Row],[GradeClass]]=2,"C",IF(Table2[[#This Row],[GradeClass]]=1,"D","F"))))</f>
        <v>A</v>
      </c>
    </row>
    <row r="84" spans="1:17" x14ac:dyDescent="0.3">
      <c r="A84" s="1">
        <v>1083</v>
      </c>
      <c r="B84" s="1">
        <v>15</v>
      </c>
      <c r="C84" s="1">
        <v>1</v>
      </c>
      <c r="D84" s="1" t="str">
        <f>IF(Table2[[#This Row],[Gender Code]]=1,"Male","Female")</f>
        <v>Male</v>
      </c>
      <c r="E84" s="1">
        <v>1</v>
      </c>
      <c r="F84" s="1">
        <v>1</v>
      </c>
      <c r="G84" s="2">
        <v>14.407464254643999</v>
      </c>
      <c r="H84" s="1">
        <v>7</v>
      </c>
      <c r="I84" s="1">
        <v>0</v>
      </c>
      <c r="J84" s="1">
        <v>0</v>
      </c>
      <c r="K84" s="1">
        <v>1</v>
      </c>
      <c r="L84" s="1">
        <v>1</v>
      </c>
      <c r="M84" s="1">
        <v>0</v>
      </c>
      <c r="N84" s="1">
        <v>0</v>
      </c>
      <c r="O84" s="3">
        <v>2.5324384175876702</v>
      </c>
      <c r="P84" s="1">
        <v>2</v>
      </c>
      <c r="Q84" s="1" t="str">
        <f>IF(Table2[[#This Row],[GradeClass]]=4,"A",IF(Table2[[#This Row],[GradeClass]]=3,"B",IF(Table2[[#This Row],[GradeClass]]=2,"C",IF(Table2[[#This Row],[GradeClass]]=1,"D","F"))))</f>
        <v>C</v>
      </c>
    </row>
    <row r="85" spans="1:17" x14ac:dyDescent="0.3">
      <c r="A85" s="1">
        <v>1084</v>
      </c>
      <c r="B85" s="1">
        <v>18</v>
      </c>
      <c r="C85" s="1">
        <v>0</v>
      </c>
      <c r="D85" s="1" t="str">
        <f>IF(Table2[[#This Row],[Gender Code]]=1,"Male","Female")</f>
        <v>Female</v>
      </c>
      <c r="E85" s="1">
        <v>2</v>
      </c>
      <c r="F85" s="1">
        <v>1</v>
      </c>
      <c r="G85" s="2">
        <v>8.8895995595558208</v>
      </c>
      <c r="H85" s="1">
        <v>16</v>
      </c>
      <c r="I85" s="1">
        <v>0</v>
      </c>
      <c r="J85" s="1">
        <v>1</v>
      </c>
      <c r="K85" s="1">
        <v>0</v>
      </c>
      <c r="L85" s="1">
        <v>1</v>
      </c>
      <c r="M85" s="1">
        <v>0</v>
      </c>
      <c r="N85" s="1">
        <v>0</v>
      </c>
      <c r="O85" s="3">
        <v>1.46337803578569</v>
      </c>
      <c r="P85" s="1">
        <v>4</v>
      </c>
      <c r="Q85" s="1" t="str">
        <f>IF(Table2[[#This Row],[GradeClass]]=4,"A",IF(Table2[[#This Row],[GradeClass]]=3,"B",IF(Table2[[#This Row],[GradeClass]]=2,"C",IF(Table2[[#This Row],[GradeClass]]=1,"D","F"))))</f>
        <v>A</v>
      </c>
    </row>
    <row r="86" spans="1:17" x14ac:dyDescent="0.3">
      <c r="A86" s="1">
        <v>1085</v>
      </c>
      <c r="B86" s="1">
        <v>17</v>
      </c>
      <c r="C86" s="1">
        <v>1</v>
      </c>
      <c r="D86" s="1" t="str">
        <f>IF(Table2[[#This Row],[Gender Code]]=1,"Male","Female")</f>
        <v>Male</v>
      </c>
      <c r="E86" s="1">
        <v>0</v>
      </c>
      <c r="F86" s="1">
        <v>2</v>
      </c>
      <c r="G86" s="2">
        <v>5.1258475073843499</v>
      </c>
      <c r="H86" s="1">
        <v>12</v>
      </c>
      <c r="I86" s="1">
        <v>0</v>
      </c>
      <c r="J86" s="1">
        <v>3</v>
      </c>
      <c r="K86" s="1">
        <v>1</v>
      </c>
      <c r="L86" s="1">
        <v>1</v>
      </c>
      <c r="M86" s="1">
        <v>0</v>
      </c>
      <c r="N86" s="1">
        <v>0</v>
      </c>
      <c r="O86" s="3">
        <v>2.3428367731918498</v>
      </c>
      <c r="P86" s="1">
        <v>3</v>
      </c>
      <c r="Q86" s="1" t="str">
        <f>IF(Table2[[#This Row],[GradeClass]]=4,"A",IF(Table2[[#This Row],[GradeClass]]=3,"B",IF(Table2[[#This Row],[GradeClass]]=2,"C",IF(Table2[[#This Row],[GradeClass]]=1,"D","F"))))</f>
        <v>B</v>
      </c>
    </row>
    <row r="87" spans="1:17" x14ac:dyDescent="0.3">
      <c r="A87" s="1">
        <v>1086</v>
      </c>
      <c r="B87" s="1">
        <v>17</v>
      </c>
      <c r="C87" s="1">
        <v>1</v>
      </c>
      <c r="D87" s="1" t="str">
        <f>IF(Table2[[#This Row],[Gender Code]]=1,"Male","Female")</f>
        <v>Male</v>
      </c>
      <c r="E87" s="1">
        <v>2</v>
      </c>
      <c r="F87" s="1">
        <v>3</v>
      </c>
      <c r="G87" s="2">
        <v>3.8082699204982</v>
      </c>
      <c r="H87" s="1">
        <v>23</v>
      </c>
      <c r="I87" s="1">
        <v>0</v>
      </c>
      <c r="J87" s="1">
        <v>3</v>
      </c>
      <c r="K87" s="1">
        <v>0</v>
      </c>
      <c r="L87" s="1">
        <v>0</v>
      </c>
      <c r="M87" s="1">
        <v>0</v>
      </c>
      <c r="N87" s="1">
        <v>0</v>
      </c>
      <c r="O87" s="3">
        <v>1.1588463344505999</v>
      </c>
      <c r="P87" s="1">
        <v>4</v>
      </c>
      <c r="Q87" s="1" t="str">
        <f>IF(Table2[[#This Row],[GradeClass]]=4,"A",IF(Table2[[#This Row],[GradeClass]]=3,"B",IF(Table2[[#This Row],[GradeClass]]=2,"C",IF(Table2[[#This Row],[GradeClass]]=1,"D","F"))))</f>
        <v>A</v>
      </c>
    </row>
    <row r="88" spans="1:17" x14ac:dyDescent="0.3">
      <c r="A88" s="1">
        <v>1087</v>
      </c>
      <c r="B88" s="1">
        <v>16</v>
      </c>
      <c r="C88" s="1">
        <v>1</v>
      </c>
      <c r="D88" s="1" t="str">
        <f>IF(Table2[[#This Row],[Gender Code]]=1,"Male","Female")</f>
        <v>Male</v>
      </c>
      <c r="E88" s="1">
        <v>0</v>
      </c>
      <c r="F88" s="1">
        <v>1</v>
      </c>
      <c r="G88" s="2">
        <v>13.3990698171843</v>
      </c>
      <c r="H88" s="1">
        <v>20</v>
      </c>
      <c r="I88" s="1">
        <v>1</v>
      </c>
      <c r="J88" s="1">
        <v>1</v>
      </c>
      <c r="K88" s="1">
        <v>1</v>
      </c>
      <c r="L88" s="1">
        <v>0</v>
      </c>
      <c r="M88" s="1">
        <v>1</v>
      </c>
      <c r="N88" s="1">
        <v>1</v>
      </c>
      <c r="O88" s="3">
        <v>1.5237487447337299</v>
      </c>
      <c r="P88" s="1">
        <v>4</v>
      </c>
      <c r="Q88" s="1" t="str">
        <f>IF(Table2[[#This Row],[GradeClass]]=4,"A",IF(Table2[[#This Row],[GradeClass]]=3,"B",IF(Table2[[#This Row],[GradeClass]]=2,"C",IF(Table2[[#This Row],[GradeClass]]=1,"D","F"))))</f>
        <v>A</v>
      </c>
    </row>
    <row r="89" spans="1:17" x14ac:dyDescent="0.3">
      <c r="A89" s="1">
        <v>1088</v>
      </c>
      <c r="B89" s="1">
        <v>15</v>
      </c>
      <c r="C89" s="1">
        <v>0</v>
      </c>
      <c r="D89" s="1" t="str">
        <f>IF(Table2[[#This Row],[Gender Code]]=1,"Male","Female")</f>
        <v>Female</v>
      </c>
      <c r="E89" s="1">
        <v>2</v>
      </c>
      <c r="F89" s="1">
        <v>1</v>
      </c>
      <c r="G89" s="2">
        <v>8.0308805067974501E-3</v>
      </c>
      <c r="H89" s="1">
        <v>27</v>
      </c>
      <c r="I89" s="1">
        <v>0</v>
      </c>
      <c r="J89" s="1">
        <v>1</v>
      </c>
      <c r="K89" s="1">
        <v>0</v>
      </c>
      <c r="L89" s="1">
        <v>0</v>
      </c>
      <c r="M89" s="1">
        <v>1</v>
      </c>
      <c r="N89" s="1">
        <v>0</v>
      </c>
      <c r="O89" s="3">
        <v>0</v>
      </c>
      <c r="P89" s="1">
        <v>4</v>
      </c>
      <c r="Q89" s="1" t="str">
        <f>IF(Table2[[#This Row],[GradeClass]]=4,"A",IF(Table2[[#This Row],[GradeClass]]=3,"B",IF(Table2[[#This Row],[GradeClass]]=2,"C",IF(Table2[[#This Row],[GradeClass]]=1,"D","F"))))</f>
        <v>A</v>
      </c>
    </row>
    <row r="90" spans="1:17" x14ac:dyDescent="0.3">
      <c r="A90" s="1">
        <v>1089</v>
      </c>
      <c r="B90" s="1">
        <v>18</v>
      </c>
      <c r="C90" s="1">
        <v>0</v>
      </c>
      <c r="D90" s="1" t="str">
        <f>IF(Table2[[#This Row],[Gender Code]]=1,"Male","Female")</f>
        <v>Female</v>
      </c>
      <c r="E90" s="1">
        <v>0</v>
      </c>
      <c r="F90" s="1">
        <v>1</v>
      </c>
      <c r="G90" s="2">
        <v>16.117823383937001</v>
      </c>
      <c r="H90" s="1">
        <v>22</v>
      </c>
      <c r="I90" s="1">
        <v>0</v>
      </c>
      <c r="J90" s="1">
        <v>0</v>
      </c>
      <c r="K90" s="1">
        <v>1</v>
      </c>
      <c r="L90" s="1">
        <v>0</v>
      </c>
      <c r="M90" s="1">
        <v>1</v>
      </c>
      <c r="N90" s="1">
        <v>0</v>
      </c>
      <c r="O90" s="3">
        <v>1.05862201444398</v>
      </c>
      <c r="P90" s="1">
        <v>4</v>
      </c>
      <c r="Q90" s="1" t="str">
        <f>IF(Table2[[#This Row],[GradeClass]]=4,"A",IF(Table2[[#This Row],[GradeClass]]=3,"B",IF(Table2[[#This Row],[GradeClass]]=2,"C",IF(Table2[[#This Row],[GradeClass]]=1,"D","F"))))</f>
        <v>A</v>
      </c>
    </row>
    <row r="91" spans="1:17" x14ac:dyDescent="0.3">
      <c r="A91" s="1">
        <v>1090</v>
      </c>
      <c r="B91" s="1">
        <v>16</v>
      </c>
      <c r="C91" s="1">
        <v>0</v>
      </c>
      <c r="D91" s="1" t="str">
        <f>IF(Table2[[#This Row],[Gender Code]]=1,"Male","Female")</f>
        <v>Female</v>
      </c>
      <c r="E91" s="1">
        <v>2</v>
      </c>
      <c r="F91" s="1">
        <v>1</v>
      </c>
      <c r="G91" s="2">
        <v>1.5849921225985699</v>
      </c>
      <c r="H91" s="1">
        <v>10</v>
      </c>
      <c r="I91" s="1">
        <v>0</v>
      </c>
      <c r="J91" s="1">
        <v>2</v>
      </c>
      <c r="K91" s="1">
        <v>0</v>
      </c>
      <c r="L91" s="1">
        <v>0</v>
      </c>
      <c r="M91" s="1">
        <v>1</v>
      </c>
      <c r="N91" s="1">
        <v>1</v>
      </c>
      <c r="O91" s="3">
        <v>2.2297401841747599</v>
      </c>
      <c r="P91" s="1">
        <v>3</v>
      </c>
      <c r="Q91" s="1" t="str">
        <f>IF(Table2[[#This Row],[GradeClass]]=4,"A",IF(Table2[[#This Row],[GradeClass]]=3,"B",IF(Table2[[#This Row],[GradeClass]]=2,"C",IF(Table2[[#This Row],[GradeClass]]=1,"D","F"))))</f>
        <v>B</v>
      </c>
    </row>
    <row r="92" spans="1:17" x14ac:dyDescent="0.3">
      <c r="A92" s="1">
        <v>1091</v>
      </c>
      <c r="B92" s="1">
        <v>18</v>
      </c>
      <c r="C92" s="1">
        <v>0</v>
      </c>
      <c r="D92" s="1" t="str">
        <f>IF(Table2[[#This Row],[Gender Code]]=1,"Male","Female")</f>
        <v>Female</v>
      </c>
      <c r="E92" s="1">
        <v>3</v>
      </c>
      <c r="F92" s="1">
        <v>1</v>
      </c>
      <c r="G92" s="2">
        <v>3.82979229816238</v>
      </c>
      <c r="H92" s="1">
        <v>26</v>
      </c>
      <c r="I92" s="1">
        <v>0</v>
      </c>
      <c r="J92" s="1">
        <v>1</v>
      </c>
      <c r="K92" s="1">
        <v>0</v>
      </c>
      <c r="L92" s="1">
        <v>0</v>
      </c>
      <c r="M92" s="1">
        <v>0</v>
      </c>
      <c r="N92" s="1">
        <v>1</v>
      </c>
      <c r="O92" s="3">
        <v>0.194743280745515</v>
      </c>
      <c r="P92" s="1">
        <v>4</v>
      </c>
      <c r="Q92" s="1" t="str">
        <f>IF(Table2[[#This Row],[GradeClass]]=4,"A",IF(Table2[[#This Row],[GradeClass]]=3,"B",IF(Table2[[#This Row],[GradeClass]]=2,"C",IF(Table2[[#This Row],[GradeClass]]=1,"D","F"))))</f>
        <v>A</v>
      </c>
    </row>
    <row r="93" spans="1:17" x14ac:dyDescent="0.3">
      <c r="A93" s="1">
        <v>1092</v>
      </c>
      <c r="B93" s="1">
        <v>18</v>
      </c>
      <c r="C93" s="1">
        <v>1</v>
      </c>
      <c r="D93" s="1" t="str">
        <f>IF(Table2[[#This Row],[Gender Code]]=1,"Male","Female")</f>
        <v>Male</v>
      </c>
      <c r="E93" s="1">
        <v>0</v>
      </c>
      <c r="F93" s="1">
        <v>2</v>
      </c>
      <c r="G93" s="2">
        <v>7.7247279059817897</v>
      </c>
      <c r="H93" s="1">
        <v>0</v>
      </c>
      <c r="I93" s="1">
        <v>0</v>
      </c>
      <c r="J93" s="1">
        <v>2</v>
      </c>
      <c r="K93" s="1">
        <v>1</v>
      </c>
      <c r="L93" s="1">
        <v>1</v>
      </c>
      <c r="M93" s="1">
        <v>0</v>
      </c>
      <c r="N93" s="1">
        <v>0</v>
      </c>
      <c r="O93" s="3">
        <v>3.5069200713692101</v>
      </c>
      <c r="P93" s="1">
        <v>0</v>
      </c>
      <c r="Q93" s="1" t="str">
        <f>IF(Table2[[#This Row],[GradeClass]]=4,"A",IF(Table2[[#This Row],[GradeClass]]=3,"B",IF(Table2[[#This Row],[GradeClass]]=2,"C",IF(Table2[[#This Row],[GradeClass]]=1,"D","F"))))</f>
        <v>F</v>
      </c>
    </row>
    <row r="94" spans="1:17" x14ac:dyDescent="0.3">
      <c r="A94" s="1">
        <v>1093</v>
      </c>
      <c r="B94" s="1">
        <v>16</v>
      </c>
      <c r="C94" s="1">
        <v>0</v>
      </c>
      <c r="D94" s="1" t="str">
        <f>IF(Table2[[#This Row],[Gender Code]]=1,"Male","Female")</f>
        <v>Female</v>
      </c>
      <c r="E94" s="1">
        <v>0</v>
      </c>
      <c r="F94" s="1">
        <v>2</v>
      </c>
      <c r="G94" s="2">
        <v>9.6971747943220699</v>
      </c>
      <c r="H94" s="1">
        <v>1</v>
      </c>
      <c r="I94" s="1">
        <v>1</v>
      </c>
      <c r="J94" s="1">
        <v>3</v>
      </c>
      <c r="K94" s="1">
        <v>0</v>
      </c>
      <c r="L94" s="1">
        <v>0</v>
      </c>
      <c r="M94" s="1">
        <v>0</v>
      </c>
      <c r="N94" s="1">
        <v>0</v>
      </c>
      <c r="O94" s="3">
        <v>3.5522869433509401</v>
      </c>
      <c r="P94" s="1">
        <v>0</v>
      </c>
      <c r="Q94" s="1" t="str">
        <f>IF(Table2[[#This Row],[GradeClass]]=4,"A",IF(Table2[[#This Row],[GradeClass]]=3,"B",IF(Table2[[#This Row],[GradeClass]]=2,"C",IF(Table2[[#This Row],[GradeClass]]=1,"D","F"))))</f>
        <v>F</v>
      </c>
    </row>
    <row r="95" spans="1:17" x14ac:dyDescent="0.3">
      <c r="A95" s="1">
        <v>1094</v>
      </c>
      <c r="B95" s="1">
        <v>16</v>
      </c>
      <c r="C95" s="1">
        <v>0</v>
      </c>
      <c r="D95" s="1" t="str">
        <f>IF(Table2[[#This Row],[Gender Code]]=1,"Male","Female")</f>
        <v>Female</v>
      </c>
      <c r="E95" s="1">
        <v>3</v>
      </c>
      <c r="F95" s="1">
        <v>2</v>
      </c>
      <c r="G95" s="2">
        <v>7.09990231627883</v>
      </c>
      <c r="H95" s="1">
        <v>16</v>
      </c>
      <c r="I95" s="1">
        <v>1</v>
      </c>
      <c r="J95" s="1">
        <v>3</v>
      </c>
      <c r="K95" s="1">
        <v>0</v>
      </c>
      <c r="L95" s="1">
        <v>1</v>
      </c>
      <c r="M95" s="1">
        <v>0</v>
      </c>
      <c r="N95" s="1">
        <v>0</v>
      </c>
      <c r="O95" s="3">
        <v>2.2384913542902298</v>
      </c>
      <c r="P95" s="1">
        <v>3</v>
      </c>
      <c r="Q95" s="1" t="str">
        <f>IF(Table2[[#This Row],[GradeClass]]=4,"A",IF(Table2[[#This Row],[GradeClass]]=3,"B",IF(Table2[[#This Row],[GradeClass]]=2,"C",IF(Table2[[#This Row],[GradeClass]]=1,"D","F"))))</f>
        <v>B</v>
      </c>
    </row>
    <row r="96" spans="1:17" x14ac:dyDescent="0.3">
      <c r="A96" s="1">
        <v>1095</v>
      </c>
      <c r="B96" s="1">
        <v>16</v>
      </c>
      <c r="C96" s="1">
        <v>1</v>
      </c>
      <c r="D96" s="1" t="str">
        <f>IF(Table2[[#This Row],[Gender Code]]=1,"Male","Female")</f>
        <v>Male</v>
      </c>
      <c r="E96" s="1">
        <v>0</v>
      </c>
      <c r="F96" s="1">
        <v>1</v>
      </c>
      <c r="G96" s="2">
        <v>6.4142432996858698</v>
      </c>
      <c r="H96" s="1">
        <v>4</v>
      </c>
      <c r="I96" s="1">
        <v>0</v>
      </c>
      <c r="J96" s="1">
        <v>1</v>
      </c>
      <c r="K96" s="1">
        <v>1</v>
      </c>
      <c r="L96" s="1">
        <v>1</v>
      </c>
      <c r="M96" s="1">
        <v>0</v>
      </c>
      <c r="N96" s="1">
        <v>0</v>
      </c>
      <c r="O96" s="3">
        <v>2.7084723438568701</v>
      </c>
      <c r="P96" s="1">
        <v>2</v>
      </c>
      <c r="Q96" s="1" t="str">
        <f>IF(Table2[[#This Row],[GradeClass]]=4,"A",IF(Table2[[#This Row],[GradeClass]]=3,"B",IF(Table2[[#This Row],[GradeClass]]=2,"C",IF(Table2[[#This Row],[GradeClass]]=1,"D","F"))))</f>
        <v>C</v>
      </c>
    </row>
    <row r="97" spans="1:17" x14ac:dyDescent="0.3">
      <c r="A97" s="1">
        <v>1096</v>
      </c>
      <c r="B97" s="1">
        <v>16</v>
      </c>
      <c r="C97" s="1">
        <v>1</v>
      </c>
      <c r="D97" s="1" t="str">
        <f>IF(Table2[[#This Row],[Gender Code]]=1,"Male","Female")</f>
        <v>Male</v>
      </c>
      <c r="E97" s="1">
        <v>2</v>
      </c>
      <c r="F97" s="1">
        <v>3</v>
      </c>
      <c r="G97" s="2">
        <v>19.2783202414637</v>
      </c>
      <c r="H97" s="1">
        <v>29</v>
      </c>
      <c r="I97" s="1">
        <v>0</v>
      </c>
      <c r="J97" s="1">
        <v>3</v>
      </c>
      <c r="K97" s="1">
        <v>0</v>
      </c>
      <c r="L97" s="1">
        <v>0</v>
      </c>
      <c r="M97" s="1">
        <v>0</v>
      </c>
      <c r="N97" s="1">
        <v>1</v>
      </c>
      <c r="O97" s="3">
        <v>0.73290823390138604</v>
      </c>
      <c r="P97" s="1">
        <v>4</v>
      </c>
      <c r="Q97" s="1" t="str">
        <f>IF(Table2[[#This Row],[GradeClass]]=4,"A",IF(Table2[[#This Row],[GradeClass]]=3,"B",IF(Table2[[#This Row],[GradeClass]]=2,"C",IF(Table2[[#This Row],[GradeClass]]=1,"D","F"))))</f>
        <v>A</v>
      </c>
    </row>
    <row r="98" spans="1:17" x14ac:dyDescent="0.3">
      <c r="A98" s="1">
        <v>1097</v>
      </c>
      <c r="B98" s="1">
        <v>16</v>
      </c>
      <c r="C98" s="1">
        <v>1</v>
      </c>
      <c r="D98" s="1" t="str">
        <f>IF(Table2[[#This Row],[Gender Code]]=1,"Male","Female")</f>
        <v>Male</v>
      </c>
      <c r="E98" s="1">
        <v>1</v>
      </c>
      <c r="F98" s="1">
        <v>1</v>
      </c>
      <c r="G98" s="2">
        <v>12.8315936248678</v>
      </c>
      <c r="H98" s="1">
        <v>29</v>
      </c>
      <c r="I98" s="1">
        <v>0</v>
      </c>
      <c r="J98" s="1">
        <v>4</v>
      </c>
      <c r="K98" s="1">
        <v>0</v>
      </c>
      <c r="L98" s="1">
        <v>0</v>
      </c>
      <c r="M98" s="1">
        <v>1</v>
      </c>
      <c r="N98" s="1">
        <v>0</v>
      </c>
      <c r="O98" s="3">
        <v>0.96548244530452998</v>
      </c>
      <c r="P98" s="1">
        <v>4</v>
      </c>
      <c r="Q98" s="1" t="str">
        <f>IF(Table2[[#This Row],[GradeClass]]=4,"A",IF(Table2[[#This Row],[GradeClass]]=3,"B",IF(Table2[[#This Row],[GradeClass]]=2,"C",IF(Table2[[#This Row],[GradeClass]]=1,"D","F"))))</f>
        <v>A</v>
      </c>
    </row>
    <row r="99" spans="1:17" x14ac:dyDescent="0.3">
      <c r="A99" s="1">
        <v>1098</v>
      </c>
      <c r="B99" s="1">
        <v>18</v>
      </c>
      <c r="C99" s="1">
        <v>0</v>
      </c>
      <c r="D99" s="1" t="str">
        <f>IF(Table2[[#This Row],[Gender Code]]=1,"Male","Female")</f>
        <v>Female</v>
      </c>
      <c r="E99" s="1">
        <v>0</v>
      </c>
      <c r="F99" s="1">
        <v>2</v>
      </c>
      <c r="G99" s="2">
        <v>0.468659107347764</v>
      </c>
      <c r="H99" s="1">
        <v>5</v>
      </c>
      <c r="I99" s="1">
        <v>0</v>
      </c>
      <c r="J99" s="1">
        <v>2</v>
      </c>
      <c r="K99" s="1">
        <v>0</v>
      </c>
      <c r="L99" s="1">
        <v>1</v>
      </c>
      <c r="M99" s="1">
        <v>0</v>
      </c>
      <c r="N99" s="1">
        <v>0</v>
      </c>
      <c r="O99" s="3">
        <v>2.5552328599380898</v>
      </c>
      <c r="P99" s="1">
        <v>2</v>
      </c>
      <c r="Q99" s="1" t="str">
        <f>IF(Table2[[#This Row],[GradeClass]]=4,"A",IF(Table2[[#This Row],[GradeClass]]=3,"B",IF(Table2[[#This Row],[GradeClass]]=2,"C",IF(Table2[[#This Row],[GradeClass]]=1,"D","F"))))</f>
        <v>C</v>
      </c>
    </row>
    <row r="100" spans="1:17" x14ac:dyDescent="0.3">
      <c r="A100" s="1">
        <v>1099</v>
      </c>
      <c r="B100" s="1">
        <v>16</v>
      </c>
      <c r="C100" s="1">
        <v>0</v>
      </c>
      <c r="D100" s="1" t="str">
        <f>IF(Table2[[#This Row],[Gender Code]]=1,"Male","Female")</f>
        <v>Female</v>
      </c>
      <c r="E100" s="1">
        <v>0</v>
      </c>
      <c r="F100" s="1">
        <v>3</v>
      </c>
      <c r="G100" s="2">
        <v>8.6035181688862608</v>
      </c>
      <c r="H100" s="1">
        <v>25</v>
      </c>
      <c r="I100" s="1">
        <v>0</v>
      </c>
      <c r="J100" s="1">
        <v>2</v>
      </c>
      <c r="K100" s="1">
        <v>1</v>
      </c>
      <c r="L100" s="1">
        <v>0</v>
      </c>
      <c r="M100" s="1">
        <v>1</v>
      </c>
      <c r="N100" s="1">
        <v>1</v>
      </c>
      <c r="O100" s="3">
        <v>0.744322299921235</v>
      </c>
      <c r="P100" s="1">
        <v>4</v>
      </c>
      <c r="Q100" s="1" t="str">
        <f>IF(Table2[[#This Row],[GradeClass]]=4,"A",IF(Table2[[#This Row],[GradeClass]]=3,"B",IF(Table2[[#This Row],[GradeClass]]=2,"C",IF(Table2[[#This Row],[GradeClass]]=1,"D","F"))))</f>
        <v>A</v>
      </c>
    </row>
    <row r="101" spans="1:17" x14ac:dyDescent="0.3">
      <c r="A101" s="1">
        <v>1100</v>
      </c>
      <c r="B101" s="1">
        <v>15</v>
      </c>
      <c r="C101" s="1">
        <v>0</v>
      </c>
      <c r="D101" s="1" t="str">
        <f>IF(Table2[[#This Row],[Gender Code]]=1,"Male","Female")</f>
        <v>Female</v>
      </c>
      <c r="E101" s="1">
        <v>0</v>
      </c>
      <c r="F101" s="1">
        <v>1</v>
      </c>
      <c r="G101" s="2">
        <v>17.5001739948794</v>
      </c>
      <c r="H101" s="1">
        <v>24</v>
      </c>
      <c r="I101" s="1">
        <v>0</v>
      </c>
      <c r="J101" s="1">
        <v>2</v>
      </c>
      <c r="K101" s="1">
        <v>0</v>
      </c>
      <c r="L101" s="1">
        <v>0</v>
      </c>
      <c r="M101" s="1">
        <v>0</v>
      </c>
      <c r="N101" s="1">
        <v>0</v>
      </c>
      <c r="O101" s="3">
        <v>0.72205658139519102</v>
      </c>
      <c r="P101" s="1">
        <v>4</v>
      </c>
      <c r="Q101" s="1" t="str">
        <f>IF(Table2[[#This Row],[GradeClass]]=4,"A",IF(Table2[[#This Row],[GradeClass]]=3,"B",IF(Table2[[#This Row],[GradeClass]]=2,"C",IF(Table2[[#This Row],[GradeClass]]=1,"D","F"))))</f>
        <v>A</v>
      </c>
    </row>
    <row r="102" spans="1:17" x14ac:dyDescent="0.3">
      <c r="A102" s="1">
        <v>1101</v>
      </c>
      <c r="B102" s="1">
        <v>17</v>
      </c>
      <c r="C102" s="1">
        <v>1</v>
      </c>
      <c r="D102" s="1" t="str">
        <f>IF(Table2[[#This Row],[Gender Code]]=1,"Male","Female")</f>
        <v>Male</v>
      </c>
      <c r="E102" s="1">
        <v>2</v>
      </c>
      <c r="F102" s="1">
        <v>1</v>
      </c>
      <c r="G102" s="2">
        <v>6.0291237282133503</v>
      </c>
      <c r="H102" s="1">
        <v>23</v>
      </c>
      <c r="I102" s="1">
        <v>1</v>
      </c>
      <c r="J102" s="1">
        <v>1</v>
      </c>
      <c r="K102" s="1">
        <v>1</v>
      </c>
      <c r="L102" s="1">
        <v>1</v>
      </c>
      <c r="M102" s="1">
        <v>0</v>
      </c>
      <c r="N102" s="1">
        <v>1</v>
      </c>
      <c r="O102" s="3">
        <v>1.2712295298373399</v>
      </c>
      <c r="P102" s="1">
        <v>4</v>
      </c>
      <c r="Q102" s="1" t="str">
        <f>IF(Table2[[#This Row],[GradeClass]]=4,"A",IF(Table2[[#This Row],[GradeClass]]=3,"B",IF(Table2[[#This Row],[GradeClass]]=2,"C",IF(Table2[[#This Row],[GradeClass]]=1,"D","F"))))</f>
        <v>A</v>
      </c>
    </row>
    <row r="103" spans="1:17" x14ac:dyDescent="0.3">
      <c r="A103" s="1">
        <v>1102</v>
      </c>
      <c r="B103" s="1">
        <v>16</v>
      </c>
      <c r="C103" s="1">
        <v>1</v>
      </c>
      <c r="D103" s="1" t="str">
        <f>IF(Table2[[#This Row],[Gender Code]]=1,"Male","Female")</f>
        <v>Male</v>
      </c>
      <c r="E103" s="1">
        <v>0</v>
      </c>
      <c r="F103" s="1">
        <v>3</v>
      </c>
      <c r="G103" s="2">
        <v>1.89112689548776</v>
      </c>
      <c r="H103" s="1">
        <v>6</v>
      </c>
      <c r="I103" s="1">
        <v>0</v>
      </c>
      <c r="J103" s="1">
        <v>3</v>
      </c>
      <c r="K103" s="1">
        <v>1</v>
      </c>
      <c r="L103" s="1">
        <v>0</v>
      </c>
      <c r="M103" s="1">
        <v>1</v>
      </c>
      <c r="N103" s="1">
        <v>1</v>
      </c>
      <c r="O103" s="3">
        <v>2.5261421414202299</v>
      </c>
      <c r="P103" s="1">
        <v>2</v>
      </c>
      <c r="Q103" s="1" t="str">
        <f>IF(Table2[[#This Row],[GradeClass]]=4,"A",IF(Table2[[#This Row],[GradeClass]]=3,"B",IF(Table2[[#This Row],[GradeClass]]=2,"C",IF(Table2[[#This Row],[GradeClass]]=1,"D","F"))))</f>
        <v>C</v>
      </c>
    </row>
    <row r="104" spans="1:17" x14ac:dyDescent="0.3">
      <c r="A104" s="1">
        <v>1103</v>
      </c>
      <c r="B104" s="1">
        <v>16</v>
      </c>
      <c r="C104" s="1">
        <v>0</v>
      </c>
      <c r="D104" s="1" t="str">
        <f>IF(Table2[[#This Row],[Gender Code]]=1,"Male","Female")</f>
        <v>Female</v>
      </c>
      <c r="E104" s="1">
        <v>1</v>
      </c>
      <c r="F104" s="1">
        <v>1</v>
      </c>
      <c r="G104" s="2">
        <v>15.1676954317983</v>
      </c>
      <c r="H104" s="1">
        <v>27</v>
      </c>
      <c r="I104" s="1">
        <v>0</v>
      </c>
      <c r="J104" s="1">
        <v>3</v>
      </c>
      <c r="K104" s="1">
        <v>1</v>
      </c>
      <c r="L104" s="1">
        <v>1</v>
      </c>
      <c r="M104" s="1">
        <v>0</v>
      </c>
      <c r="N104" s="1">
        <v>0</v>
      </c>
      <c r="O104" s="3">
        <v>0.94241539535952301</v>
      </c>
      <c r="P104" s="1">
        <v>4</v>
      </c>
      <c r="Q104" s="1" t="str">
        <f>IF(Table2[[#This Row],[GradeClass]]=4,"A",IF(Table2[[#This Row],[GradeClass]]=3,"B",IF(Table2[[#This Row],[GradeClass]]=2,"C",IF(Table2[[#This Row],[GradeClass]]=1,"D","F"))))</f>
        <v>A</v>
      </c>
    </row>
    <row r="105" spans="1:17" x14ac:dyDescent="0.3">
      <c r="A105" s="1">
        <v>1104</v>
      </c>
      <c r="B105" s="1">
        <v>18</v>
      </c>
      <c r="C105" s="1">
        <v>1</v>
      </c>
      <c r="D105" s="1" t="str">
        <f>IF(Table2[[#This Row],[Gender Code]]=1,"Male","Female")</f>
        <v>Male</v>
      </c>
      <c r="E105" s="1">
        <v>0</v>
      </c>
      <c r="F105" s="1">
        <v>2</v>
      </c>
      <c r="G105" s="2">
        <v>12.120276638721601</v>
      </c>
      <c r="H105" s="1">
        <v>20</v>
      </c>
      <c r="I105" s="1">
        <v>1</v>
      </c>
      <c r="J105" s="1">
        <v>2</v>
      </c>
      <c r="K105" s="1">
        <v>0</v>
      </c>
      <c r="L105" s="1">
        <v>1</v>
      </c>
      <c r="M105" s="1">
        <v>0</v>
      </c>
      <c r="N105" s="1">
        <v>0</v>
      </c>
      <c r="O105" s="3">
        <v>1.5156390983950201</v>
      </c>
      <c r="P105" s="1">
        <v>4</v>
      </c>
      <c r="Q105" s="1" t="str">
        <f>IF(Table2[[#This Row],[GradeClass]]=4,"A",IF(Table2[[#This Row],[GradeClass]]=3,"B",IF(Table2[[#This Row],[GradeClass]]=2,"C",IF(Table2[[#This Row],[GradeClass]]=1,"D","F"))))</f>
        <v>A</v>
      </c>
    </row>
    <row r="106" spans="1:17" x14ac:dyDescent="0.3">
      <c r="A106" s="1">
        <v>1105</v>
      </c>
      <c r="B106" s="1">
        <v>16</v>
      </c>
      <c r="C106" s="1">
        <v>1</v>
      </c>
      <c r="D106" s="1" t="str">
        <f>IF(Table2[[#This Row],[Gender Code]]=1,"Male","Female")</f>
        <v>Male</v>
      </c>
      <c r="E106" s="1">
        <v>1</v>
      </c>
      <c r="F106" s="1">
        <v>0</v>
      </c>
      <c r="G106" s="2">
        <v>11.40625015653</v>
      </c>
      <c r="H106" s="1">
        <v>29</v>
      </c>
      <c r="I106" s="1">
        <v>0</v>
      </c>
      <c r="J106" s="1">
        <v>3</v>
      </c>
      <c r="K106" s="1">
        <v>1</v>
      </c>
      <c r="L106" s="1">
        <v>0</v>
      </c>
      <c r="M106" s="1">
        <v>0</v>
      </c>
      <c r="N106" s="1">
        <v>0</v>
      </c>
      <c r="O106" s="3">
        <v>0.64827392670819095</v>
      </c>
      <c r="P106" s="1">
        <v>4</v>
      </c>
      <c r="Q106" s="1" t="str">
        <f>IF(Table2[[#This Row],[GradeClass]]=4,"A",IF(Table2[[#This Row],[GradeClass]]=3,"B",IF(Table2[[#This Row],[GradeClass]]=2,"C",IF(Table2[[#This Row],[GradeClass]]=1,"D","F"))))</f>
        <v>A</v>
      </c>
    </row>
    <row r="107" spans="1:17" x14ac:dyDescent="0.3">
      <c r="A107" s="1">
        <v>1106</v>
      </c>
      <c r="B107" s="1">
        <v>16</v>
      </c>
      <c r="C107" s="1">
        <v>1</v>
      </c>
      <c r="D107" s="1" t="str">
        <f>IF(Table2[[#This Row],[Gender Code]]=1,"Male","Female")</f>
        <v>Male</v>
      </c>
      <c r="E107" s="1">
        <v>2</v>
      </c>
      <c r="F107" s="1">
        <v>2</v>
      </c>
      <c r="G107" s="2">
        <v>1.0715311921481501</v>
      </c>
      <c r="H107" s="1">
        <v>14</v>
      </c>
      <c r="I107" s="1">
        <v>0</v>
      </c>
      <c r="J107" s="1">
        <v>3</v>
      </c>
      <c r="K107" s="1">
        <v>0</v>
      </c>
      <c r="L107" s="1">
        <v>1</v>
      </c>
      <c r="M107" s="1">
        <v>1</v>
      </c>
      <c r="N107" s="1">
        <v>1</v>
      </c>
      <c r="O107" s="3">
        <v>2.04885008213886</v>
      </c>
      <c r="P107" s="1">
        <v>3</v>
      </c>
      <c r="Q107" s="1" t="str">
        <f>IF(Table2[[#This Row],[GradeClass]]=4,"A",IF(Table2[[#This Row],[GradeClass]]=3,"B",IF(Table2[[#This Row],[GradeClass]]=2,"C",IF(Table2[[#This Row],[GradeClass]]=1,"D","F"))))</f>
        <v>B</v>
      </c>
    </row>
    <row r="108" spans="1:17" x14ac:dyDescent="0.3">
      <c r="A108" s="1">
        <v>1107</v>
      </c>
      <c r="B108" s="1">
        <v>16</v>
      </c>
      <c r="C108" s="1">
        <v>0</v>
      </c>
      <c r="D108" s="1" t="str">
        <f>IF(Table2[[#This Row],[Gender Code]]=1,"Male","Female")</f>
        <v>Female</v>
      </c>
      <c r="E108" s="1">
        <v>3</v>
      </c>
      <c r="F108" s="1">
        <v>1</v>
      </c>
      <c r="G108" s="2">
        <v>2.8099801959103399</v>
      </c>
      <c r="H108" s="1">
        <v>18</v>
      </c>
      <c r="I108" s="1">
        <v>0</v>
      </c>
      <c r="J108" s="1">
        <v>0</v>
      </c>
      <c r="K108" s="1">
        <v>1</v>
      </c>
      <c r="L108" s="1">
        <v>0</v>
      </c>
      <c r="M108" s="1">
        <v>0</v>
      </c>
      <c r="N108" s="1">
        <v>1</v>
      </c>
      <c r="O108" s="3">
        <v>0.84229599925713805</v>
      </c>
      <c r="P108" s="1">
        <v>4</v>
      </c>
      <c r="Q108" s="1" t="str">
        <f>IF(Table2[[#This Row],[GradeClass]]=4,"A",IF(Table2[[#This Row],[GradeClass]]=3,"B",IF(Table2[[#This Row],[GradeClass]]=2,"C",IF(Table2[[#This Row],[GradeClass]]=1,"D","F"))))</f>
        <v>A</v>
      </c>
    </row>
    <row r="109" spans="1:17" x14ac:dyDescent="0.3">
      <c r="A109" s="1">
        <v>1108</v>
      </c>
      <c r="B109" s="1">
        <v>18</v>
      </c>
      <c r="C109" s="1">
        <v>1</v>
      </c>
      <c r="D109" s="1" t="str">
        <f>IF(Table2[[#This Row],[Gender Code]]=1,"Male","Female")</f>
        <v>Male</v>
      </c>
      <c r="E109" s="1">
        <v>0</v>
      </c>
      <c r="F109" s="1">
        <v>0</v>
      </c>
      <c r="G109" s="2">
        <v>12.450987924262201</v>
      </c>
      <c r="H109" s="1">
        <v>15</v>
      </c>
      <c r="I109" s="1">
        <v>0</v>
      </c>
      <c r="J109" s="1">
        <v>1</v>
      </c>
      <c r="K109" s="1">
        <v>0</v>
      </c>
      <c r="L109" s="1">
        <v>1</v>
      </c>
      <c r="M109" s="1">
        <v>0</v>
      </c>
      <c r="N109" s="1">
        <v>0</v>
      </c>
      <c r="O109" s="3">
        <v>1.4641879236906401</v>
      </c>
      <c r="P109" s="1">
        <v>4</v>
      </c>
      <c r="Q109" s="1" t="str">
        <f>IF(Table2[[#This Row],[GradeClass]]=4,"A",IF(Table2[[#This Row],[GradeClass]]=3,"B",IF(Table2[[#This Row],[GradeClass]]=2,"C",IF(Table2[[#This Row],[GradeClass]]=1,"D","F"))))</f>
        <v>A</v>
      </c>
    </row>
    <row r="110" spans="1:17" x14ac:dyDescent="0.3">
      <c r="A110" s="1">
        <v>1109</v>
      </c>
      <c r="B110" s="1">
        <v>16</v>
      </c>
      <c r="C110" s="1">
        <v>1</v>
      </c>
      <c r="D110" s="1" t="str">
        <f>IF(Table2[[#This Row],[Gender Code]]=1,"Male","Female")</f>
        <v>Male</v>
      </c>
      <c r="E110" s="1">
        <v>2</v>
      </c>
      <c r="F110" s="1">
        <v>2</v>
      </c>
      <c r="G110" s="2">
        <v>4.15647682917671</v>
      </c>
      <c r="H110" s="1">
        <v>24</v>
      </c>
      <c r="I110" s="1">
        <v>1</v>
      </c>
      <c r="J110" s="1">
        <v>3</v>
      </c>
      <c r="K110" s="1">
        <v>1</v>
      </c>
      <c r="L110" s="1">
        <v>1</v>
      </c>
      <c r="M110" s="1">
        <v>0</v>
      </c>
      <c r="N110" s="1">
        <v>0</v>
      </c>
      <c r="O110" s="3">
        <v>1.48794686516979</v>
      </c>
      <c r="P110" s="1">
        <v>4</v>
      </c>
      <c r="Q110" s="1" t="str">
        <f>IF(Table2[[#This Row],[GradeClass]]=4,"A",IF(Table2[[#This Row],[GradeClass]]=3,"B",IF(Table2[[#This Row],[GradeClass]]=2,"C",IF(Table2[[#This Row],[GradeClass]]=1,"D","F"))))</f>
        <v>A</v>
      </c>
    </row>
    <row r="111" spans="1:17" x14ac:dyDescent="0.3">
      <c r="A111" s="1">
        <v>1110</v>
      </c>
      <c r="B111" s="1">
        <v>17</v>
      </c>
      <c r="C111" s="1">
        <v>0</v>
      </c>
      <c r="D111" s="1" t="str">
        <f>IF(Table2[[#This Row],[Gender Code]]=1,"Male","Female")</f>
        <v>Female</v>
      </c>
      <c r="E111" s="1">
        <v>2</v>
      </c>
      <c r="F111" s="1">
        <v>1</v>
      </c>
      <c r="G111" s="2">
        <v>10.081401594968399</v>
      </c>
      <c r="H111" s="1">
        <v>12</v>
      </c>
      <c r="I111" s="1">
        <v>1</v>
      </c>
      <c r="J111" s="1">
        <v>4</v>
      </c>
      <c r="K111" s="1">
        <v>0</v>
      </c>
      <c r="L111" s="1">
        <v>0</v>
      </c>
      <c r="M111" s="1">
        <v>0</v>
      </c>
      <c r="N111" s="1">
        <v>0</v>
      </c>
      <c r="O111" s="3">
        <v>2.58756579637063</v>
      </c>
      <c r="P111" s="1">
        <v>2</v>
      </c>
      <c r="Q111" s="1" t="str">
        <f>IF(Table2[[#This Row],[GradeClass]]=4,"A",IF(Table2[[#This Row],[GradeClass]]=3,"B",IF(Table2[[#This Row],[GradeClass]]=2,"C",IF(Table2[[#This Row],[GradeClass]]=1,"D","F"))))</f>
        <v>C</v>
      </c>
    </row>
    <row r="112" spans="1:17" x14ac:dyDescent="0.3">
      <c r="A112" s="1">
        <v>1111</v>
      </c>
      <c r="B112" s="1">
        <v>18</v>
      </c>
      <c r="C112" s="1">
        <v>0</v>
      </c>
      <c r="D112" s="1" t="str">
        <f>IF(Table2[[#This Row],[Gender Code]]=1,"Male","Female")</f>
        <v>Female</v>
      </c>
      <c r="E112" s="1">
        <v>1</v>
      </c>
      <c r="F112" s="1">
        <v>1</v>
      </c>
      <c r="G112" s="2">
        <v>10.8976337205878</v>
      </c>
      <c r="H112" s="1">
        <v>4</v>
      </c>
      <c r="I112" s="1">
        <v>1</v>
      </c>
      <c r="J112" s="1">
        <v>3</v>
      </c>
      <c r="K112" s="1">
        <v>0</v>
      </c>
      <c r="L112" s="1">
        <v>0</v>
      </c>
      <c r="M112" s="1">
        <v>0</v>
      </c>
      <c r="N112" s="1">
        <v>0</v>
      </c>
      <c r="O112" s="3">
        <v>3.2208069781948701</v>
      </c>
      <c r="P112" s="1">
        <v>1</v>
      </c>
      <c r="Q112" s="1" t="str">
        <f>IF(Table2[[#This Row],[GradeClass]]=4,"A",IF(Table2[[#This Row],[GradeClass]]=3,"B",IF(Table2[[#This Row],[GradeClass]]=2,"C",IF(Table2[[#This Row],[GradeClass]]=1,"D","F"))))</f>
        <v>D</v>
      </c>
    </row>
    <row r="113" spans="1:17" x14ac:dyDescent="0.3">
      <c r="A113" s="1">
        <v>1112</v>
      </c>
      <c r="B113" s="1">
        <v>17</v>
      </c>
      <c r="C113" s="1">
        <v>1</v>
      </c>
      <c r="D113" s="1" t="str">
        <f>IF(Table2[[#This Row],[Gender Code]]=1,"Male","Female")</f>
        <v>Male</v>
      </c>
      <c r="E113" s="1">
        <v>3</v>
      </c>
      <c r="F113" s="1">
        <v>0</v>
      </c>
      <c r="G113" s="2">
        <v>5.67014380541878</v>
      </c>
      <c r="H113" s="1">
        <v>2</v>
      </c>
      <c r="I113" s="1">
        <v>1</v>
      </c>
      <c r="J113" s="1">
        <v>4</v>
      </c>
      <c r="K113" s="1">
        <v>0</v>
      </c>
      <c r="L113" s="1">
        <v>0</v>
      </c>
      <c r="M113" s="1">
        <v>1</v>
      </c>
      <c r="N113" s="1">
        <v>0</v>
      </c>
      <c r="O113" s="3">
        <v>3.5451594318003101</v>
      </c>
      <c r="P113" s="1">
        <v>0</v>
      </c>
      <c r="Q113" s="1" t="str">
        <f>IF(Table2[[#This Row],[GradeClass]]=4,"A",IF(Table2[[#This Row],[GradeClass]]=3,"B",IF(Table2[[#This Row],[GradeClass]]=2,"C",IF(Table2[[#This Row],[GradeClass]]=1,"D","F"))))</f>
        <v>F</v>
      </c>
    </row>
    <row r="114" spans="1:17" x14ac:dyDescent="0.3">
      <c r="A114" s="1">
        <v>1113</v>
      </c>
      <c r="B114" s="1">
        <v>18</v>
      </c>
      <c r="C114" s="1">
        <v>1</v>
      </c>
      <c r="D114" s="1" t="str">
        <f>IF(Table2[[#This Row],[Gender Code]]=1,"Male","Female")</f>
        <v>Male</v>
      </c>
      <c r="E114" s="1">
        <v>0</v>
      </c>
      <c r="F114" s="1">
        <v>1</v>
      </c>
      <c r="G114" s="2">
        <v>18.968503110829801</v>
      </c>
      <c r="H114" s="1">
        <v>2</v>
      </c>
      <c r="I114" s="1">
        <v>0</v>
      </c>
      <c r="J114" s="1">
        <v>2</v>
      </c>
      <c r="K114" s="1">
        <v>0</v>
      </c>
      <c r="L114" s="1">
        <v>0</v>
      </c>
      <c r="M114" s="1">
        <v>0</v>
      </c>
      <c r="N114" s="1">
        <v>0</v>
      </c>
      <c r="O114" s="3">
        <v>3.0895989530746402</v>
      </c>
      <c r="P114" s="1">
        <v>1</v>
      </c>
      <c r="Q114" s="1" t="str">
        <f>IF(Table2[[#This Row],[GradeClass]]=4,"A",IF(Table2[[#This Row],[GradeClass]]=3,"B",IF(Table2[[#This Row],[GradeClass]]=2,"C",IF(Table2[[#This Row],[GradeClass]]=1,"D","F"))))</f>
        <v>D</v>
      </c>
    </row>
    <row r="115" spans="1:17" x14ac:dyDescent="0.3">
      <c r="A115" s="1">
        <v>1114</v>
      </c>
      <c r="B115" s="1">
        <v>16</v>
      </c>
      <c r="C115" s="1">
        <v>0</v>
      </c>
      <c r="D115" s="1" t="str">
        <f>IF(Table2[[#This Row],[Gender Code]]=1,"Male","Female")</f>
        <v>Female</v>
      </c>
      <c r="E115" s="1">
        <v>0</v>
      </c>
      <c r="F115" s="1">
        <v>1</v>
      </c>
      <c r="G115" s="2">
        <v>16.849282136711501</v>
      </c>
      <c r="H115" s="1">
        <v>18</v>
      </c>
      <c r="I115" s="1">
        <v>1</v>
      </c>
      <c r="J115" s="1">
        <v>1</v>
      </c>
      <c r="K115" s="1">
        <v>0</v>
      </c>
      <c r="L115" s="1">
        <v>1</v>
      </c>
      <c r="M115" s="1">
        <v>1</v>
      </c>
      <c r="N115" s="1">
        <v>0</v>
      </c>
      <c r="O115" s="3">
        <v>1.9199564399182001</v>
      </c>
      <c r="P115" s="1">
        <v>4</v>
      </c>
      <c r="Q115" s="1" t="str">
        <f>IF(Table2[[#This Row],[GradeClass]]=4,"A",IF(Table2[[#This Row],[GradeClass]]=3,"B",IF(Table2[[#This Row],[GradeClass]]=2,"C",IF(Table2[[#This Row],[GradeClass]]=1,"D","F"))))</f>
        <v>A</v>
      </c>
    </row>
    <row r="116" spans="1:17" x14ac:dyDescent="0.3">
      <c r="A116" s="1">
        <v>1115</v>
      </c>
      <c r="B116" s="1">
        <v>17</v>
      </c>
      <c r="C116" s="1">
        <v>0</v>
      </c>
      <c r="D116" s="1" t="str">
        <f>IF(Table2[[#This Row],[Gender Code]]=1,"Male","Female")</f>
        <v>Female</v>
      </c>
      <c r="E116" s="1">
        <v>2</v>
      </c>
      <c r="F116" s="1">
        <v>0</v>
      </c>
      <c r="G116" s="2">
        <v>14.4474701526559</v>
      </c>
      <c r="H116" s="1">
        <v>13</v>
      </c>
      <c r="I116" s="1">
        <v>1</v>
      </c>
      <c r="J116" s="1">
        <v>2</v>
      </c>
      <c r="K116" s="1">
        <v>0</v>
      </c>
      <c r="L116" s="1">
        <v>0</v>
      </c>
      <c r="M116" s="1">
        <v>0</v>
      </c>
      <c r="N116" s="1">
        <v>0</v>
      </c>
      <c r="O116" s="3">
        <v>2.1985931845869602</v>
      </c>
      <c r="P116" s="1">
        <v>3</v>
      </c>
      <c r="Q116" s="1" t="str">
        <f>IF(Table2[[#This Row],[GradeClass]]=4,"A",IF(Table2[[#This Row],[GradeClass]]=3,"B",IF(Table2[[#This Row],[GradeClass]]=2,"C",IF(Table2[[#This Row],[GradeClass]]=1,"D","F"))))</f>
        <v>B</v>
      </c>
    </row>
    <row r="117" spans="1:17" x14ac:dyDescent="0.3">
      <c r="A117" s="1">
        <v>1116</v>
      </c>
      <c r="B117" s="1">
        <v>18</v>
      </c>
      <c r="C117" s="1">
        <v>1</v>
      </c>
      <c r="D117" s="1" t="str">
        <f>IF(Table2[[#This Row],[Gender Code]]=1,"Male","Female")</f>
        <v>Male</v>
      </c>
      <c r="E117" s="1">
        <v>0</v>
      </c>
      <c r="F117" s="1">
        <v>3</v>
      </c>
      <c r="G117" s="2">
        <v>1.5598773281881799</v>
      </c>
      <c r="H117" s="1">
        <v>15</v>
      </c>
      <c r="I117" s="1">
        <v>0</v>
      </c>
      <c r="J117" s="1">
        <v>0</v>
      </c>
      <c r="K117" s="1">
        <v>0</v>
      </c>
      <c r="L117" s="1">
        <v>0</v>
      </c>
      <c r="M117" s="1">
        <v>0</v>
      </c>
      <c r="N117" s="1">
        <v>1</v>
      </c>
      <c r="O117" s="3">
        <v>0.87821261676277595</v>
      </c>
      <c r="P117" s="1">
        <v>4</v>
      </c>
      <c r="Q117" s="1" t="str">
        <f>IF(Table2[[#This Row],[GradeClass]]=4,"A",IF(Table2[[#This Row],[GradeClass]]=3,"B",IF(Table2[[#This Row],[GradeClass]]=2,"C",IF(Table2[[#This Row],[GradeClass]]=1,"D","F"))))</f>
        <v>A</v>
      </c>
    </row>
    <row r="118" spans="1:17" x14ac:dyDescent="0.3">
      <c r="A118" s="1">
        <v>1117</v>
      </c>
      <c r="B118" s="1">
        <v>15</v>
      </c>
      <c r="C118" s="1">
        <v>1</v>
      </c>
      <c r="D118" s="1" t="str">
        <f>IF(Table2[[#This Row],[Gender Code]]=1,"Male","Female")</f>
        <v>Male</v>
      </c>
      <c r="E118" s="1">
        <v>2</v>
      </c>
      <c r="F118" s="1">
        <v>0</v>
      </c>
      <c r="G118" s="2">
        <v>2.1226003861803799</v>
      </c>
      <c r="H118" s="1">
        <v>21</v>
      </c>
      <c r="I118" s="1">
        <v>0</v>
      </c>
      <c r="J118" s="1">
        <v>3</v>
      </c>
      <c r="K118" s="1">
        <v>1</v>
      </c>
      <c r="L118" s="1">
        <v>0</v>
      </c>
      <c r="M118" s="1">
        <v>1</v>
      </c>
      <c r="N118" s="1">
        <v>0</v>
      </c>
      <c r="O118" s="3">
        <v>1.3403686475123999</v>
      </c>
      <c r="P118" s="1">
        <v>4</v>
      </c>
      <c r="Q118" s="1" t="str">
        <f>IF(Table2[[#This Row],[GradeClass]]=4,"A",IF(Table2[[#This Row],[GradeClass]]=3,"B",IF(Table2[[#This Row],[GradeClass]]=2,"C",IF(Table2[[#This Row],[GradeClass]]=1,"D","F"))))</f>
        <v>A</v>
      </c>
    </row>
    <row r="119" spans="1:17" x14ac:dyDescent="0.3">
      <c r="A119" s="1">
        <v>1118</v>
      </c>
      <c r="B119" s="1">
        <v>16</v>
      </c>
      <c r="C119" s="1">
        <v>1</v>
      </c>
      <c r="D119" s="1" t="str">
        <f>IF(Table2[[#This Row],[Gender Code]]=1,"Male","Female")</f>
        <v>Male</v>
      </c>
      <c r="E119" s="1">
        <v>2</v>
      </c>
      <c r="F119" s="1">
        <v>2</v>
      </c>
      <c r="G119" s="2">
        <v>9.8556269172991104</v>
      </c>
      <c r="H119" s="1">
        <v>16</v>
      </c>
      <c r="I119" s="1">
        <v>0</v>
      </c>
      <c r="J119" s="1">
        <v>4</v>
      </c>
      <c r="K119" s="1">
        <v>0</v>
      </c>
      <c r="L119" s="1">
        <v>0</v>
      </c>
      <c r="M119" s="1">
        <v>0</v>
      </c>
      <c r="N119" s="1">
        <v>0</v>
      </c>
      <c r="O119" s="3">
        <v>1.8195113357138999</v>
      </c>
      <c r="P119" s="1">
        <v>4</v>
      </c>
      <c r="Q119" s="1" t="str">
        <f>IF(Table2[[#This Row],[GradeClass]]=4,"A",IF(Table2[[#This Row],[GradeClass]]=3,"B",IF(Table2[[#This Row],[GradeClass]]=2,"C",IF(Table2[[#This Row],[GradeClass]]=1,"D","F"))))</f>
        <v>A</v>
      </c>
    </row>
    <row r="120" spans="1:17" x14ac:dyDescent="0.3">
      <c r="A120" s="1">
        <v>1119</v>
      </c>
      <c r="B120" s="1">
        <v>18</v>
      </c>
      <c r="C120" s="1">
        <v>1</v>
      </c>
      <c r="D120" s="1" t="str">
        <f>IF(Table2[[#This Row],[Gender Code]]=1,"Male","Female")</f>
        <v>Male</v>
      </c>
      <c r="E120" s="1">
        <v>0</v>
      </c>
      <c r="F120" s="1">
        <v>1</v>
      </c>
      <c r="G120" s="2">
        <v>3.21426698381971</v>
      </c>
      <c r="H120" s="1">
        <v>26</v>
      </c>
      <c r="I120" s="1">
        <v>0</v>
      </c>
      <c r="J120" s="1">
        <v>3</v>
      </c>
      <c r="K120" s="1">
        <v>0</v>
      </c>
      <c r="L120" s="1">
        <v>1</v>
      </c>
      <c r="M120" s="1">
        <v>0</v>
      </c>
      <c r="N120" s="1">
        <v>0</v>
      </c>
      <c r="O120" s="3">
        <v>0.61935093146753395</v>
      </c>
      <c r="P120" s="1">
        <v>4</v>
      </c>
      <c r="Q120" s="1" t="str">
        <f>IF(Table2[[#This Row],[GradeClass]]=4,"A",IF(Table2[[#This Row],[GradeClass]]=3,"B",IF(Table2[[#This Row],[GradeClass]]=2,"C",IF(Table2[[#This Row],[GradeClass]]=1,"D","F"))))</f>
        <v>A</v>
      </c>
    </row>
    <row r="121" spans="1:17" x14ac:dyDescent="0.3">
      <c r="A121" s="1">
        <v>1120</v>
      </c>
      <c r="B121" s="1">
        <v>15</v>
      </c>
      <c r="C121" s="1">
        <v>0</v>
      </c>
      <c r="D121" s="1" t="str">
        <f>IF(Table2[[#This Row],[Gender Code]]=1,"Male","Female")</f>
        <v>Female</v>
      </c>
      <c r="E121" s="1">
        <v>2</v>
      </c>
      <c r="F121" s="1">
        <v>1</v>
      </c>
      <c r="G121" s="2">
        <v>19.565309270589399</v>
      </c>
      <c r="H121" s="1">
        <v>3</v>
      </c>
      <c r="I121" s="1">
        <v>0</v>
      </c>
      <c r="J121" s="1">
        <v>2</v>
      </c>
      <c r="K121" s="1">
        <v>1</v>
      </c>
      <c r="L121" s="1">
        <v>0</v>
      </c>
      <c r="M121" s="1">
        <v>1</v>
      </c>
      <c r="N121" s="1">
        <v>1</v>
      </c>
      <c r="O121" s="3">
        <v>3.6194608696935102</v>
      </c>
      <c r="P121" s="1">
        <v>0</v>
      </c>
      <c r="Q121" s="1" t="str">
        <f>IF(Table2[[#This Row],[GradeClass]]=4,"A",IF(Table2[[#This Row],[GradeClass]]=3,"B",IF(Table2[[#This Row],[GradeClass]]=2,"C",IF(Table2[[#This Row],[GradeClass]]=1,"D","F"))))</f>
        <v>F</v>
      </c>
    </row>
    <row r="122" spans="1:17" x14ac:dyDescent="0.3">
      <c r="A122" s="1">
        <v>1121</v>
      </c>
      <c r="B122" s="1">
        <v>18</v>
      </c>
      <c r="C122" s="1">
        <v>1</v>
      </c>
      <c r="D122" s="1" t="str">
        <f>IF(Table2[[#This Row],[Gender Code]]=1,"Male","Female")</f>
        <v>Male</v>
      </c>
      <c r="E122" s="1">
        <v>0</v>
      </c>
      <c r="F122" s="1">
        <v>3</v>
      </c>
      <c r="G122" s="2">
        <v>3.17040468054818</v>
      </c>
      <c r="H122" s="1">
        <v>12</v>
      </c>
      <c r="I122" s="1">
        <v>1</v>
      </c>
      <c r="J122" s="1">
        <v>1</v>
      </c>
      <c r="K122" s="1">
        <v>1</v>
      </c>
      <c r="L122" s="1">
        <v>1</v>
      </c>
      <c r="M122" s="1">
        <v>0</v>
      </c>
      <c r="N122" s="1">
        <v>0</v>
      </c>
      <c r="O122" s="3">
        <v>2.1749027962098699</v>
      </c>
      <c r="P122" s="1">
        <v>3</v>
      </c>
      <c r="Q122" s="1" t="str">
        <f>IF(Table2[[#This Row],[GradeClass]]=4,"A",IF(Table2[[#This Row],[GradeClass]]=3,"B",IF(Table2[[#This Row],[GradeClass]]=2,"C",IF(Table2[[#This Row],[GradeClass]]=1,"D","F"))))</f>
        <v>B</v>
      </c>
    </row>
    <row r="123" spans="1:17" x14ac:dyDescent="0.3">
      <c r="A123" s="1">
        <v>1122</v>
      </c>
      <c r="B123" s="1">
        <v>15</v>
      </c>
      <c r="C123" s="1">
        <v>1</v>
      </c>
      <c r="D123" s="1" t="str">
        <f>IF(Table2[[#This Row],[Gender Code]]=1,"Male","Female")</f>
        <v>Male</v>
      </c>
      <c r="E123" s="1">
        <v>1</v>
      </c>
      <c r="F123" s="1">
        <v>1</v>
      </c>
      <c r="G123" s="2">
        <v>9.7493567092794802</v>
      </c>
      <c r="H123" s="1">
        <v>7</v>
      </c>
      <c r="I123" s="1">
        <v>1</v>
      </c>
      <c r="J123" s="1">
        <v>1</v>
      </c>
      <c r="K123" s="1">
        <v>0</v>
      </c>
      <c r="L123" s="1">
        <v>1</v>
      </c>
      <c r="M123" s="1">
        <v>1</v>
      </c>
      <c r="N123" s="1">
        <v>0</v>
      </c>
      <c r="O123" s="3">
        <v>2.9744060149110401</v>
      </c>
      <c r="P123" s="1">
        <v>2</v>
      </c>
      <c r="Q123" s="1" t="str">
        <f>IF(Table2[[#This Row],[GradeClass]]=4,"A",IF(Table2[[#This Row],[GradeClass]]=3,"B",IF(Table2[[#This Row],[GradeClass]]=2,"C",IF(Table2[[#This Row],[GradeClass]]=1,"D","F"))))</f>
        <v>C</v>
      </c>
    </row>
    <row r="124" spans="1:17" x14ac:dyDescent="0.3">
      <c r="A124" s="1">
        <v>1123</v>
      </c>
      <c r="B124" s="1">
        <v>16</v>
      </c>
      <c r="C124" s="1">
        <v>0</v>
      </c>
      <c r="D124" s="1" t="str">
        <f>IF(Table2[[#This Row],[Gender Code]]=1,"Male","Female")</f>
        <v>Female</v>
      </c>
      <c r="E124" s="1">
        <v>1</v>
      </c>
      <c r="F124" s="1">
        <v>4</v>
      </c>
      <c r="G124" s="2">
        <v>7.2824211368301004</v>
      </c>
      <c r="H124" s="1">
        <v>18</v>
      </c>
      <c r="I124" s="1">
        <v>0</v>
      </c>
      <c r="J124" s="1">
        <v>2</v>
      </c>
      <c r="K124" s="1">
        <v>0</v>
      </c>
      <c r="L124" s="1">
        <v>0</v>
      </c>
      <c r="M124" s="1">
        <v>0</v>
      </c>
      <c r="N124" s="1">
        <v>0</v>
      </c>
      <c r="O124" s="3">
        <v>0.98073584374880196</v>
      </c>
      <c r="P124" s="1">
        <v>4</v>
      </c>
      <c r="Q124" s="1" t="str">
        <f>IF(Table2[[#This Row],[GradeClass]]=4,"A",IF(Table2[[#This Row],[GradeClass]]=3,"B",IF(Table2[[#This Row],[GradeClass]]=2,"C",IF(Table2[[#This Row],[GradeClass]]=1,"D","F"))))</f>
        <v>A</v>
      </c>
    </row>
    <row r="125" spans="1:17" x14ac:dyDescent="0.3">
      <c r="A125" s="1">
        <v>1124</v>
      </c>
      <c r="B125" s="1">
        <v>17</v>
      </c>
      <c r="C125" s="1">
        <v>1</v>
      </c>
      <c r="D125" s="1" t="str">
        <f>IF(Table2[[#This Row],[Gender Code]]=1,"Male","Female")</f>
        <v>Male</v>
      </c>
      <c r="E125" s="1">
        <v>3</v>
      </c>
      <c r="F125" s="1">
        <v>1</v>
      </c>
      <c r="G125" s="2">
        <v>12.7877284290819</v>
      </c>
      <c r="H125" s="1">
        <v>4</v>
      </c>
      <c r="I125" s="1">
        <v>0</v>
      </c>
      <c r="J125" s="1">
        <v>3</v>
      </c>
      <c r="K125" s="1">
        <v>0</v>
      </c>
      <c r="L125" s="1">
        <v>0</v>
      </c>
      <c r="M125" s="1">
        <v>0</v>
      </c>
      <c r="N125" s="1">
        <v>0</v>
      </c>
      <c r="O125" s="3">
        <v>3.1016738090151001</v>
      </c>
      <c r="P125" s="1">
        <v>1</v>
      </c>
      <c r="Q125" s="1" t="str">
        <f>IF(Table2[[#This Row],[GradeClass]]=4,"A",IF(Table2[[#This Row],[GradeClass]]=3,"B",IF(Table2[[#This Row],[GradeClass]]=2,"C",IF(Table2[[#This Row],[GradeClass]]=1,"D","F"))))</f>
        <v>D</v>
      </c>
    </row>
    <row r="126" spans="1:17" x14ac:dyDescent="0.3">
      <c r="A126" s="1">
        <v>1125</v>
      </c>
      <c r="B126" s="1">
        <v>15</v>
      </c>
      <c r="C126" s="1">
        <v>0</v>
      </c>
      <c r="D126" s="1" t="str">
        <f>IF(Table2[[#This Row],[Gender Code]]=1,"Male","Female")</f>
        <v>Female</v>
      </c>
      <c r="E126" s="1">
        <v>0</v>
      </c>
      <c r="F126" s="1">
        <v>2</v>
      </c>
      <c r="G126" s="2">
        <v>2.5807281777884898</v>
      </c>
      <c r="H126" s="1">
        <v>1</v>
      </c>
      <c r="I126" s="1">
        <v>1</v>
      </c>
      <c r="J126" s="1">
        <v>2</v>
      </c>
      <c r="K126" s="1">
        <v>1</v>
      </c>
      <c r="L126" s="1">
        <v>0</v>
      </c>
      <c r="M126" s="1">
        <v>1</v>
      </c>
      <c r="N126" s="1">
        <v>0</v>
      </c>
      <c r="O126" s="3">
        <v>3.49825734177332</v>
      </c>
      <c r="P126" s="1">
        <v>1</v>
      </c>
      <c r="Q126" s="1" t="str">
        <f>IF(Table2[[#This Row],[GradeClass]]=4,"A",IF(Table2[[#This Row],[GradeClass]]=3,"B",IF(Table2[[#This Row],[GradeClass]]=2,"C",IF(Table2[[#This Row],[GradeClass]]=1,"D","F"))))</f>
        <v>D</v>
      </c>
    </row>
    <row r="127" spans="1:17" x14ac:dyDescent="0.3">
      <c r="A127" s="1">
        <v>1126</v>
      </c>
      <c r="B127" s="1">
        <v>18</v>
      </c>
      <c r="C127" s="1">
        <v>1</v>
      </c>
      <c r="D127" s="1" t="str">
        <f>IF(Table2[[#This Row],[Gender Code]]=1,"Male","Female")</f>
        <v>Male</v>
      </c>
      <c r="E127" s="1">
        <v>0</v>
      </c>
      <c r="F127" s="1">
        <v>2</v>
      </c>
      <c r="G127" s="2">
        <v>8.6063285608478104</v>
      </c>
      <c r="H127" s="1">
        <v>14</v>
      </c>
      <c r="I127" s="1">
        <v>0</v>
      </c>
      <c r="J127" s="1">
        <v>4</v>
      </c>
      <c r="K127" s="1">
        <v>1</v>
      </c>
      <c r="L127" s="1">
        <v>0</v>
      </c>
      <c r="M127" s="1">
        <v>0</v>
      </c>
      <c r="N127" s="1">
        <v>0</v>
      </c>
      <c r="O127" s="3">
        <v>2.5905534450529801</v>
      </c>
      <c r="P127" s="1">
        <v>2</v>
      </c>
      <c r="Q127" s="1" t="str">
        <f>IF(Table2[[#This Row],[GradeClass]]=4,"A",IF(Table2[[#This Row],[GradeClass]]=3,"B",IF(Table2[[#This Row],[GradeClass]]=2,"C",IF(Table2[[#This Row],[GradeClass]]=1,"D","F"))))</f>
        <v>C</v>
      </c>
    </row>
    <row r="128" spans="1:17" x14ac:dyDescent="0.3">
      <c r="A128" s="1">
        <v>1127</v>
      </c>
      <c r="B128" s="1">
        <v>16</v>
      </c>
      <c r="C128" s="1">
        <v>1</v>
      </c>
      <c r="D128" s="1" t="str">
        <f>IF(Table2[[#This Row],[Gender Code]]=1,"Male","Female")</f>
        <v>Male</v>
      </c>
      <c r="E128" s="1">
        <v>1</v>
      </c>
      <c r="F128" s="1">
        <v>3</v>
      </c>
      <c r="G128" s="2">
        <v>5.4941006561428702</v>
      </c>
      <c r="H128" s="1">
        <v>1</v>
      </c>
      <c r="I128" s="1">
        <v>0</v>
      </c>
      <c r="J128" s="1">
        <v>3</v>
      </c>
      <c r="K128" s="1">
        <v>1</v>
      </c>
      <c r="L128" s="1">
        <v>0</v>
      </c>
      <c r="M128" s="1">
        <v>0</v>
      </c>
      <c r="N128" s="1">
        <v>0</v>
      </c>
      <c r="O128" s="3">
        <v>3.5350037581843101</v>
      </c>
      <c r="P128" s="1">
        <v>0</v>
      </c>
      <c r="Q128" s="1" t="str">
        <f>IF(Table2[[#This Row],[GradeClass]]=4,"A",IF(Table2[[#This Row],[GradeClass]]=3,"B",IF(Table2[[#This Row],[GradeClass]]=2,"C",IF(Table2[[#This Row],[GradeClass]]=1,"D","F"))))</f>
        <v>F</v>
      </c>
    </row>
    <row r="129" spans="1:17" x14ac:dyDescent="0.3">
      <c r="A129" s="1">
        <v>1128</v>
      </c>
      <c r="B129" s="1">
        <v>15</v>
      </c>
      <c r="C129" s="1">
        <v>0</v>
      </c>
      <c r="D129" s="1" t="str">
        <f>IF(Table2[[#This Row],[Gender Code]]=1,"Male","Female")</f>
        <v>Female</v>
      </c>
      <c r="E129" s="1">
        <v>2</v>
      </c>
      <c r="F129" s="1">
        <v>2</v>
      </c>
      <c r="G129" s="2">
        <v>17.755030493433701</v>
      </c>
      <c r="H129" s="1">
        <v>10</v>
      </c>
      <c r="I129" s="1">
        <v>1</v>
      </c>
      <c r="J129" s="1">
        <v>1</v>
      </c>
      <c r="K129" s="1">
        <v>0</v>
      </c>
      <c r="L129" s="1">
        <v>1</v>
      </c>
      <c r="M129" s="1">
        <v>0</v>
      </c>
      <c r="N129" s="1">
        <v>0</v>
      </c>
      <c r="O129" s="3">
        <v>2.81992174529318</v>
      </c>
      <c r="P129" s="1">
        <v>2</v>
      </c>
      <c r="Q129" s="1" t="str">
        <f>IF(Table2[[#This Row],[GradeClass]]=4,"A",IF(Table2[[#This Row],[GradeClass]]=3,"B",IF(Table2[[#This Row],[GradeClass]]=2,"C",IF(Table2[[#This Row],[GradeClass]]=1,"D","F"))))</f>
        <v>C</v>
      </c>
    </row>
    <row r="130" spans="1:17" x14ac:dyDescent="0.3">
      <c r="A130" s="1">
        <v>1129</v>
      </c>
      <c r="B130" s="1">
        <v>18</v>
      </c>
      <c r="C130" s="1">
        <v>0</v>
      </c>
      <c r="D130" s="1" t="str">
        <f>IF(Table2[[#This Row],[Gender Code]]=1,"Male","Female")</f>
        <v>Female</v>
      </c>
      <c r="E130" s="1">
        <v>1</v>
      </c>
      <c r="F130" s="1">
        <v>2</v>
      </c>
      <c r="G130" s="2">
        <v>0.81171424269390102</v>
      </c>
      <c r="H130" s="1">
        <v>12</v>
      </c>
      <c r="I130" s="1">
        <v>1</v>
      </c>
      <c r="J130" s="1">
        <v>1</v>
      </c>
      <c r="K130" s="1">
        <v>1</v>
      </c>
      <c r="L130" s="1">
        <v>1</v>
      </c>
      <c r="M130" s="1">
        <v>0</v>
      </c>
      <c r="N130" s="1">
        <v>0</v>
      </c>
      <c r="O130" s="3">
        <v>2.0165967745176601</v>
      </c>
      <c r="P130" s="1">
        <v>3</v>
      </c>
      <c r="Q130" s="1" t="str">
        <f>IF(Table2[[#This Row],[GradeClass]]=4,"A",IF(Table2[[#This Row],[GradeClass]]=3,"B",IF(Table2[[#This Row],[GradeClass]]=2,"C",IF(Table2[[#This Row],[GradeClass]]=1,"D","F"))))</f>
        <v>B</v>
      </c>
    </row>
    <row r="131" spans="1:17" x14ac:dyDescent="0.3">
      <c r="A131" s="1">
        <v>1130</v>
      </c>
      <c r="B131" s="1">
        <v>18</v>
      </c>
      <c r="C131" s="1">
        <v>1</v>
      </c>
      <c r="D131" s="1" t="str">
        <f>IF(Table2[[#This Row],[Gender Code]]=1,"Male","Female")</f>
        <v>Male</v>
      </c>
      <c r="E131" s="1">
        <v>0</v>
      </c>
      <c r="F131" s="1">
        <v>1</v>
      </c>
      <c r="G131" s="2">
        <v>18.274549880129101</v>
      </c>
      <c r="H131" s="1">
        <v>22</v>
      </c>
      <c r="I131" s="1">
        <v>1</v>
      </c>
      <c r="J131" s="1">
        <v>3</v>
      </c>
      <c r="K131" s="1">
        <v>0</v>
      </c>
      <c r="L131" s="1">
        <v>0</v>
      </c>
      <c r="M131" s="1">
        <v>0</v>
      </c>
      <c r="N131" s="1">
        <v>0</v>
      </c>
      <c r="O131" s="3">
        <v>1.37118503889171</v>
      </c>
      <c r="P131" s="1">
        <v>4</v>
      </c>
      <c r="Q131" s="1" t="str">
        <f>IF(Table2[[#This Row],[GradeClass]]=4,"A",IF(Table2[[#This Row],[GradeClass]]=3,"B",IF(Table2[[#This Row],[GradeClass]]=2,"C",IF(Table2[[#This Row],[GradeClass]]=1,"D","F"))))</f>
        <v>A</v>
      </c>
    </row>
    <row r="132" spans="1:17" x14ac:dyDescent="0.3">
      <c r="A132" s="1">
        <v>1131</v>
      </c>
      <c r="B132" s="1">
        <v>18</v>
      </c>
      <c r="C132" s="1">
        <v>1</v>
      </c>
      <c r="D132" s="1" t="str">
        <f>IF(Table2[[#This Row],[Gender Code]]=1,"Male","Female")</f>
        <v>Male</v>
      </c>
      <c r="E132" s="1">
        <v>0</v>
      </c>
      <c r="F132" s="1">
        <v>1</v>
      </c>
      <c r="G132" s="2">
        <v>16.659882771060001</v>
      </c>
      <c r="H132" s="1">
        <v>9</v>
      </c>
      <c r="I132" s="1">
        <v>0</v>
      </c>
      <c r="J132" s="1">
        <v>1</v>
      </c>
      <c r="K132" s="1">
        <v>0</v>
      </c>
      <c r="L132" s="1">
        <v>0</v>
      </c>
      <c r="M132" s="1">
        <v>0</v>
      </c>
      <c r="N132" s="1">
        <v>0</v>
      </c>
      <c r="O132" s="3">
        <v>2.1047955879699001</v>
      </c>
      <c r="P132" s="1">
        <v>3</v>
      </c>
      <c r="Q132" s="1" t="str">
        <f>IF(Table2[[#This Row],[GradeClass]]=4,"A",IF(Table2[[#This Row],[GradeClass]]=3,"B",IF(Table2[[#This Row],[GradeClass]]=2,"C",IF(Table2[[#This Row],[GradeClass]]=1,"D","F"))))</f>
        <v>B</v>
      </c>
    </row>
    <row r="133" spans="1:17" x14ac:dyDescent="0.3">
      <c r="A133" s="1">
        <v>1132</v>
      </c>
      <c r="B133" s="1">
        <v>15</v>
      </c>
      <c r="C133" s="1">
        <v>1</v>
      </c>
      <c r="D133" s="1" t="str">
        <f>IF(Table2[[#This Row],[Gender Code]]=1,"Male","Female")</f>
        <v>Male</v>
      </c>
      <c r="E133" s="1">
        <v>0</v>
      </c>
      <c r="F133" s="1">
        <v>3</v>
      </c>
      <c r="G133" s="2">
        <v>5.9514143288163002</v>
      </c>
      <c r="H133" s="1">
        <v>2</v>
      </c>
      <c r="I133" s="1">
        <v>0</v>
      </c>
      <c r="J133" s="1">
        <v>3</v>
      </c>
      <c r="K133" s="1">
        <v>0</v>
      </c>
      <c r="L133" s="1">
        <v>0</v>
      </c>
      <c r="M133" s="1">
        <v>0</v>
      </c>
      <c r="N133" s="1">
        <v>0</v>
      </c>
      <c r="O133" s="3">
        <v>3.0304390886965198</v>
      </c>
      <c r="P133" s="1">
        <v>1</v>
      </c>
      <c r="Q133" s="1" t="str">
        <f>IF(Table2[[#This Row],[GradeClass]]=4,"A",IF(Table2[[#This Row],[GradeClass]]=3,"B",IF(Table2[[#This Row],[GradeClass]]=2,"C",IF(Table2[[#This Row],[GradeClass]]=1,"D","F"))))</f>
        <v>D</v>
      </c>
    </row>
    <row r="134" spans="1:17" x14ac:dyDescent="0.3">
      <c r="A134" s="1">
        <v>1133</v>
      </c>
      <c r="B134" s="1">
        <v>15</v>
      </c>
      <c r="C134" s="1">
        <v>0</v>
      </c>
      <c r="D134" s="1" t="str">
        <f>IF(Table2[[#This Row],[Gender Code]]=1,"Male","Female")</f>
        <v>Female</v>
      </c>
      <c r="E134" s="1">
        <v>2</v>
      </c>
      <c r="F134" s="1">
        <v>1</v>
      </c>
      <c r="G134" s="2">
        <v>15.785813093542</v>
      </c>
      <c r="H134" s="1">
        <v>4</v>
      </c>
      <c r="I134" s="1">
        <v>1</v>
      </c>
      <c r="J134" s="1">
        <v>2</v>
      </c>
      <c r="K134" s="1">
        <v>0</v>
      </c>
      <c r="L134" s="1">
        <v>1</v>
      </c>
      <c r="M134" s="1">
        <v>0</v>
      </c>
      <c r="N134" s="1">
        <v>0</v>
      </c>
      <c r="O134" s="3">
        <v>3.5824218723119499</v>
      </c>
      <c r="P134" s="1">
        <v>0</v>
      </c>
      <c r="Q134" s="1" t="str">
        <f>IF(Table2[[#This Row],[GradeClass]]=4,"A",IF(Table2[[#This Row],[GradeClass]]=3,"B",IF(Table2[[#This Row],[GradeClass]]=2,"C",IF(Table2[[#This Row],[GradeClass]]=1,"D","F"))))</f>
        <v>F</v>
      </c>
    </row>
    <row r="135" spans="1:17" x14ac:dyDescent="0.3">
      <c r="A135" s="1">
        <v>1134</v>
      </c>
      <c r="B135" s="1">
        <v>15</v>
      </c>
      <c r="C135" s="1">
        <v>1</v>
      </c>
      <c r="D135" s="1" t="str">
        <f>IF(Table2[[#This Row],[Gender Code]]=1,"Male","Female")</f>
        <v>Male</v>
      </c>
      <c r="E135" s="1">
        <v>0</v>
      </c>
      <c r="F135" s="1">
        <v>1</v>
      </c>
      <c r="G135" s="2">
        <v>0.62427120677495096</v>
      </c>
      <c r="H135" s="1">
        <v>2</v>
      </c>
      <c r="I135" s="1">
        <v>0</v>
      </c>
      <c r="J135" s="1">
        <v>1</v>
      </c>
      <c r="K135" s="1">
        <v>1</v>
      </c>
      <c r="L135" s="1">
        <v>0</v>
      </c>
      <c r="M135" s="1">
        <v>0</v>
      </c>
      <c r="N135" s="1">
        <v>0</v>
      </c>
      <c r="O135" s="3">
        <v>2.4265467060392401</v>
      </c>
      <c r="P135" s="1">
        <v>3</v>
      </c>
      <c r="Q135" s="1" t="str">
        <f>IF(Table2[[#This Row],[GradeClass]]=4,"A",IF(Table2[[#This Row],[GradeClass]]=3,"B",IF(Table2[[#This Row],[GradeClass]]=2,"C",IF(Table2[[#This Row],[GradeClass]]=1,"D","F"))))</f>
        <v>B</v>
      </c>
    </row>
    <row r="136" spans="1:17" x14ac:dyDescent="0.3">
      <c r="A136" s="1">
        <v>1135</v>
      </c>
      <c r="B136" s="1">
        <v>17</v>
      </c>
      <c r="C136" s="1">
        <v>0</v>
      </c>
      <c r="D136" s="1" t="str">
        <f>IF(Table2[[#This Row],[Gender Code]]=1,"Male","Female")</f>
        <v>Female</v>
      </c>
      <c r="E136" s="1">
        <v>0</v>
      </c>
      <c r="F136" s="1">
        <v>2</v>
      </c>
      <c r="G136" s="2">
        <v>19.3373110058678</v>
      </c>
      <c r="H136" s="1">
        <v>5</v>
      </c>
      <c r="I136" s="1">
        <v>1</v>
      </c>
      <c r="J136" s="1">
        <v>2</v>
      </c>
      <c r="K136" s="1">
        <v>1</v>
      </c>
      <c r="L136" s="1">
        <v>0</v>
      </c>
      <c r="M136" s="1">
        <v>0</v>
      </c>
      <c r="N136" s="1">
        <v>0</v>
      </c>
      <c r="O136" s="3">
        <v>3.1614362702583598</v>
      </c>
      <c r="P136" s="1">
        <v>1</v>
      </c>
      <c r="Q136" s="1" t="str">
        <f>IF(Table2[[#This Row],[GradeClass]]=4,"A",IF(Table2[[#This Row],[GradeClass]]=3,"B",IF(Table2[[#This Row],[GradeClass]]=2,"C",IF(Table2[[#This Row],[GradeClass]]=1,"D","F"))))</f>
        <v>D</v>
      </c>
    </row>
    <row r="137" spans="1:17" x14ac:dyDescent="0.3">
      <c r="A137" s="1">
        <v>1136</v>
      </c>
      <c r="B137" s="1">
        <v>15</v>
      </c>
      <c r="C137" s="1">
        <v>0</v>
      </c>
      <c r="D137" s="1" t="str">
        <f>IF(Table2[[#This Row],[Gender Code]]=1,"Male","Female")</f>
        <v>Female</v>
      </c>
      <c r="E137" s="1">
        <v>3</v>
      </c>
      <c r="F137" s="1">
        <v>1</v>
      </c>
      <c r="G137" s="2">
        <v>10.531898851795701</v>
      </c>
      <c r="H137" s="1">
        <v>12</v>
      </c>
      <c r="I137" s="1">
        <v>0</v>
      </c>
      <c r="J137" s="1">
        <v>2</v>
      </c>
      <c r="K137" s="1">
        <v>1</v>
      </c>
      <c r="L137" s="1">
        <v>0</v>
      </c>
      <c r="M137" s="1">
        <v>0</v>
      </c>
      <c r="N137" s="1">
        <v>0</v>
      </c>
      <c r="O137" s="3">
        <v>2.1226385296288601</v>
      </c>
      <c r="P137" s="1">
        <v>3</v>
      </c>
      <c r="Q137" s="1" t="str">
        <f>IF(Table2[[#This Row],[GradeClass]]=4,"A",IF(Table2[[#This Row],[GradeClass]]=3,"B",IF(Table2[[#This Row],[GradeClass]]=2,"C",IF(Table2[[#This Row],[GradeClass]]=1,"D","F"))))</f>
        <v>B</v>
      </c>
    </row>
    <row r="138" spans="1:17" x14ac:dyDescent="0.3">
      <c r="A138" s="1">
        <v>1137</v>
      </c>
      <c r="B138" s="1">
        <v>15</v>
      </c>
      <c r="C138" s="1">
        <v>1</v>
      </c>
      <c r="D138" s="1" t="str">
        <f>IF(Table2[[#This Row],[Gender Code]]=1,"Male","Female")</f>
        <v>Male</v>
      </c>
      <c r="E138" s="1">
        <v>0</v>
      </c>
      <c r="F138" s="1">
        <v>4</v>
      </c>
      <c r="G138" s="2">
        <v>6.0656205213089001</v>
      </c>
      <c r="H138" s="1">
        <v>9</v>
      </c>
      <c r="I138" s="1">
        <v>0</v>
      </c>
      <c r="J138" s="1">
        <v>3</v>
      </c>
      <c r="K138" s="1">
        <v>0</v>
      </c>
      <c r="L138" s="1">
        <v>1</v>
      </c>
      <c r="M138" s="1">
        <v>0</v>
      </c>
      <c r="N138" s="1">
        <v>0</v>
      </c>
      <c r="O138" s="3">
        <v>2.2048605809973099</v>
      </c>
      <c r="P138" s="1">
        <v>3</v>
      </c>
      <c r="Q138" s="1" t="str">
        <f>IF(Table2[[#This Row],[GradeClass]]=4,"A",IF(Table2[[#This Row],[GradeClass]]=3,"B",IF(Table2[[#This Row],[GradeClass]]=2,"C",IF(Table2[[#This Row],[GradeClass]]=1,"D","F"))))</f>
        <v>B</v>
      </c>
    </row>
    <row r="139" spans="1:17" x14ac:dyDescent="0.3">
      <c r="A139" s="1">
        <v>1138</v>
      </c>
      <c r="B139" s="1">
        <v>15</v>
      </c>
      <c r="C139" s="1">
        <v>0</v>
      </c>
      <c r="D139" s="1" t="str">
        <f>IF(Table2[[#This Row],[Gender Code]]=1,"Male","Female")</f>
        <v>Female</v>
      </c>
      <c r="E139" s="1">
        <v>3</v>
      </c>
      <c r="F139" s="1">
        <v>2</v>
      </c>
      <c r="G139" s="2">
        <v>7.2516642518935397</v>
      </c>
      <c r="H139" s="1">
        <v>18</v>
      </c>
      <c r="I139" s="1">
        <v>0</v>
      </c>
      <c r="J139" s="1">
        <v>0</v>
      </c>
      <c r="K139" s="1">
        <v>1</v>
      </c>
      <c r="L139" s="1">
        <v>0</v>
      </c>
      <c r="M139" s="1">
        <v>1</v>
      </c>
      <c r="N139" s="1">
        <v>1</v>
      </c>
      <c r="O139" s="3">
        <v>1.1829875004980399</v>
      </c>
      <c r="P139" s="1">
        <v>4</v>
      </c>
      <c r="Q139" s="1" t="str">
        <f>IF(Table2[[#This Row],[GradeClass]]=4,"A",IF(Table2[[#This Row],[GradeClass]]=3,"B",IF(Table2[[#This Row],[GradeClass]]=2,"C",IF(Table2[[#This Row],[GradeClass]]=1,"D","F"))))</f>
        <v>A</v>
      </c>
    </row>
    <row r="140" spans="1:17" x14ac:dyDescent="0.3">
      <c r="A140" s="1">
        <v>1139</v>
      </c>
      <c r="B140" s="1">
        <v>17</v>
      </c>
      <c r="C140" s="1">
        <v>1</v>
      </c>
      <c r="D140" s="1" t="str">
        <f>IF(Table2[[#This Row],[Gender Code]]=1,"Male","Female")</f>
        <v>Male</v>
      </c>
      <c r="E140" s="1">
        <v>1</v>
      </c>
      <c r="F140" s="1">
        <v>2</v>
      </c>
      <c r="G140" s="2">
        <v>1.3281070692099399</v>
      </c>
      <c r="H140" s="1">
        <v>7</v>
      </c>
      <c r="I140" s="1">
        <v>0</v>
      </c>
      <c r="J140" s="1">
        <v>3</v>
      </c>
      <c r="K140" s="1">
        <v>1</v>
      </c>
      <c r="L140" s="1">
        <v>0</v>
      </c>
      <c r="M140" s="1">
        <v>0</v>
      </c>
      <c r="N140" s="1">
        <v>0</v>
      </c>
      <c r="O140" s="3">
        <v>2.7387957163435899</v>
      </c>
      <c r="P140" s="1">
        <v>2</v>
      </c>
      <c r="Q140" s="1" t="str">
        <f>IF(Table2[[#This Row],[GradeClass]]=4,"A",IF(Table2[[#This Row],[GradeClass]]=3,"B",IF(Table2[[#This Row],[GradeClass]]=2,"C",IF(Table2[[#This Row],[GradeClass]]=1,"D","F"))))</f>
        <v>C</v>
      </c>
    </row>
    <row r="141" spans="1:17" x14ac:dyDescent="0.3">
      <c r="A141" s="1">
        <v>1140</v>
      </c>
      <c r="B141" s="1">
        <v>15</v>
      </c>
      <c r="C141" s="1">
        <v>1</v>
      </c>
      <c r="D141" s="1" t="str">
        <f>IF(Table2[[#This Row],[Gender Code]]=1,"Male","Female")</f>
        <v>Male</v>
      </c>
      <c r="E141" s="1">
        <v>2</v>
      </c>
      <c r="F141" s="1">
        <v>3</v>
      </c>
      <c r="G141" s="2">
        <v>19.786990280840701</v>
      </c>
      <c r="H141" s="1">
        <v>17</v>
      </c>
      <c r="I141" s="1">
        <v>1</v>
      </c>
      <c r="J141" s="1">
        <v>3</v>
      </c>
      <c r="K141" s="1">
        <v>0</v>
      </c>
      <c r="L141" s="1">
        <v>0</v>
      </c>
      <c r="M141" s="1">
        <v>0</v>
      </c>
      <c r="N141" s="1">
        <v>0</v>
      </c>
      <c r="O141" s="3">
        <v>2.2379013009826001</v>
      </c>
      <c r="P141" s="1">
        <v>3</v>
      </c>
      <c r="Q141" s="1" t="str">
        <f>IF(Table2[[#This Row],[GradeClass]]=4,"A",IF(Table2[[#This Row],[GradeClass]]=3,"B",IF(Table2[[#This Row],[GradeClass]]=2,"C",IF(Table2[[#This Row],[GradeClass]]=1,"D","F"))))</f>
        <v>B</v>
      </c>
    </row>
    <row r="142" spans="1:17" x14ac:dyDescent="0.3">
      <c r="A142" s="1">
        <v>1141</v>
      </c>
      <c r="B142" s="1">
        <v>18</v>
      </c>
      <c r="C142" s="1">
        <v>1</v>
      </c>
      <c r="D142" s="1" t="str">
        <f>IF(Table2[[#This Row],[Gender Code]]=1,"Male","Female")</f>
        <v>Male</v>
      </c>
      <c r="E142" s="1">
        <v>0</v>
      </c>
      <c r="F142" s="1">
        <v>0</v>
      </c>
      <c r="G142" s="2">
        <v>0.78583890301384896</v>
      </c>
      <c r="H142" s="1">
        <v>2</v>
      </c>
      <c r="I142" s="1">
        <v>0</v>
      </c>
      <c r="J142" s="1">
        <v>3</v>
      </c>
      <c r="K142" s="1">
        <v>1</v>
      </c>
      <c r="L142" s="1">
        <v>0</v>
      </c>
      <c r="M142" s="1">
        <v>0</v>
      </c>
      <c r="N142" s="1">
        <v>0</v>
      </c>
      <c r="O142" s="3">
        <v>3.13948154638038</v>
      </c>
      <c r="P142" s="1">
        <v>1</v>
      </c>
      <c r="Q142" s="1" t="str">
        <f>IF(Table2[[#This Row],[GradeClass]]=4,"A",IF(Table2[[#This Row],[GradeClass]]=3,"B",IF(Table2[[#This Row],[GradeClass]]=2,"C",IF(Table2[[#This Row],[GradeClass]]=1,"D","F"))))</f>
        <v>D</v>
      </c>
    </row>
    <row r="143" spans="1:17" x14ac:dyDescent="0.3">
      <c r="A143" s="1">
        <v>1142</v>
      </c>
      <c r="B143" s="1">
        <v>15</v>
      </c>
      <c r="C143" s="1">
        <v>1</v>
      </c>
      <c r="D143" s="1" t="str">
        <f>IF(Table2[[#This Row],[Gender Code]]=1,"Male","Female")</f>
        <v>Male</v>
      </c>
      <c r="E143" s="1">
        <v>0</v>
      </c>
      <c r="F143" s="1">
        <v>1</v>
      </c>
      <c r="G143" s="2">
        <v>13.098142462957099</v>
      </c>
      <c r="H143" s="1">
        <v>23</v>
      </c>
      <c r="I143" s="1">
        <v>1</v>
      </c>
      <c r="J143" s="1">
        <v>0</v>
      </c>
      <c r="K143" s="1">
        <v>1</v>
      </c>
      <c r="L143" s="1">
        <v>1</v>
      </c>
      <c r="M143" s="1">
        <v>0</v>
      </c>
      <c r="N143" s="1">
        <v>0</v>
      </c>
      <c r="O143" s="3">
        <v>1.04604477108009</v>
      </c>
      <c r="P143" s="1">
        <v>4</v>
      </c>
      <c r="Q143" s="1" t="str">
        <f>IF(Table2[[#This Row],[GradeClass]]=4,"A",IF(Table2[[#This Row],[GradeClass]]=3,"B",IF(Table2[[#This Row],[GradeClass]]=2,"C",IF(Table2[[#This Row],[GradeClass]]=1,"D","F"))))</f>
        <v>A</v>
      </c>
    </row>
    <row r="144" spans="1:17" x14ac:dyDescent="0.3">
      <c r="A144" s="1">
        <v>1143</v>
      </c>
      <c r="B144" s="1">
        <v>18</v>
      </c>
      <c r="C144" s="1">
        <v>1</v>
      </c>
      <c r="D144" s="1" t="str">
        <f>IF(Table2[[#This Row],[Gender Code]]=1,"Male","Female")</f>
        <v>Male</v>
      </c>
      <c r="E144" s="1">
        <v>2</v>
      </c>
      <c r="F144" s="1">
        <v>2</v>
      </c>
      <c r="G144" s="2">
        <v>8.8547185541291604</v>
      </c>
      <c r="H144" s="1">
        <v>23</v>
      </c>
      <c r="I144" s="1">
        <v>1</v>
      </c>
      <c r="J144" s="1">
        <v>3</v>
      </c>
      <c r="K144" s="1">
        <v>0</v>
      </c>
      <c r="L144" s="1">
        <v>0</v>
      </c>
      <c r="M144" s="1">
        <v>0</v>
      </c>
      <c r="N144" s="1">
        <v>0</v>
      </c>
      <c r="O144" s="3">
        <v>0.81645824521379895</v>
      </c>
      <c r="P144" s="1">
        <v>4</v>
      </c>
      <c r="Q144" s="1" t="str">
        <f>IF(Table2[[#This Row],[GradeClass]]=4,"A",IF(Table2[[#This Row],[GradeClass]]=3,"B",IF(Table2[[#This Row],[GradeClass]]=2,"C",IF(Table2[[#This Row],[GradeClass]]=1,"D","F"))))</f>
        <v>A</v>
      </c>
    </row>
    <row r="145" spans="1:17" x14ac:dyDescent="0.3">
      <c r="A145" s="1">
        <v>1144</v>
      </c>
      <c r="B145" s="1">
        <v>18</v>
      </c>
      <c r="C145" s="1">
        <v>0</v>
      </c>
      <c r="D145" s="1" t="str">
        <f>IF(Table2[[#This Row],[Gender Code]]=1,"Male","Female")</f>
        <v>Female</v>
      </c>
      <c r="E145" s="1">
        <v>2</v>
      </c>
      <c r="F145" s="1">
        <v>1</v>
      </c>
      <c r="G145" s="2">
        <v>18.978324363774298</v>
      </c>
      <c r="H145" s="1">
        <v>16</v>
      </c>
      <c r="I145" s="1">
        <v>0</v>
      </c>
      <c r="J145" s="1">
        <v>2</v>
      </c>
      <c r="K145" s="1">
        <v>1</v>
      </c>
      <c r="L145" s="1">
        <v>0</v>
      </c>
      <c r="M145" s="1">
        <v>1</v>
      </c>
      <c r="N145" s="1">
        <v>0</v>
      </c>
      <c r="O145" s="3">
        <v>2.0335446205211798</v>
      </c>
      <c r="P145" s="1">
        <v>3</v>
      </c>
      <c r="Q145" s="1" t="str">
        <f>IF(Table2[[#This Row],[GradeClass]]=4,"A",IF(Table2[[#This Row],[GradeClass]]=3,"B",IF(Table2[[#This Row],[GradeClass]]=2,"C",IF(Table2[[#This Row],[GradeClass]]=1,"D","F"))))</f>
        <v>B</v>
      </c>
    </row>
    <row r="146" spans="1:17" x14ac:dyDescent="0.3">
      <c r="A146" s="1">
        <v>1145</v>
      </c>
      <c r="B146" s="1">
        <v>18</v>
      </c>
      <c r="C146" s="1">
        <v>0</v>
      </c>
      <c r="D146" s="1" t="str">
        <f>IF(Table2[[#This Row],[Gender Code]]=1,"Male","Female")</f>
        <v>Female</v>
      </c>
      <c r="E146" s="1">
        <v>2</v>
      </c>
      <c r="F146" s="1">
        <v>2</v>
      </c>
      <c r="G146" s="2">
        <v>4.9199948061359002</v>
      </c>
      <c r="H146" s="1">
        <v>7</v>
      </c>
      <c r="I146" s="1">
        <v>1</v>
      </c>
      <c r="J146" s="1">
        <v>2</v>
      </c>
      <c r="K146" s="1">
        <v>1</v>
      </c>
      <c r="L146" s="1">
        <v>1</v>
      </c>
      <c r="M146" s="1">
        <v>0</v>
      </c>
      <c r="N146" s="1">
        <v>0</v>
      </c>
      <c r="O146" s="3">
        <v>2.4320785227822301</v>
      </c>
      <c r="P146" s="1">
        <v>3</v>
      </c>
      <c r="Q146" s="1" t="str">
        <f>IF(Table2[[#This Row],[GradeClass]]=4,"A",IF(Table2[[#This Row],[GradeClass]]=3,"B",IF(Table2[[#This Row],[GradeClass]]=2,"C",IF(Table2[[#This Row],[GradeClass]]=1,"D","F"))))</f>
        <v>B</v>
      </c>
    </row>
    <row r="147" spans="1:17" x14ac:dyDescent="0.3">
      <c r="A147" s="1">
        <v>1146</v>
      </c>
      <c r="B147" s="1">
        <v>17</v>
      </c>
      <c r="C147" s="1">
        <v>1</v>
      </c>
      <c r="D147" s="1" t="str">
        <f>IF(Table2[[#This Row],[Gender Code]]=1,"Male","Female")</f>
        <v>Male</v>
      </c>
      <c r="E147" s="1">
        <v>0</v>
      </c>
      <c r="F147" s="1">
        <v>3</v>
      </c>
      <c r="G147" s="2">
        <v>10.641736478760199</v>
      </c>
      <c r="H147" s="1">
        <v>9</v>
      </c>
      <c r="I147" s="1">
        <v>0</v>
      </c>
      <c r="J147" s="1">
        <v>3</v>
      </c>
      <c r="K147" s="1">
        <v>1</v>
      </c>
      <c r="L147" s="1">
        <v>0</v>
      </c>
      <c r="M147" s="1">
        <v>0</v>
      </c>
      <c r="N147" s="1">
        <v>0</v>
      </c>
      <c r="O147" s="3">
        <v>2.6597713195278998</v>
      </c>
      <c r="P147" s="1">
        <v>2</v>
      </c>
      <c r="Q147" s="1" t="str">
        <f>IF(Table2[[#This Row],[GradeClass]]=4,"A",IF(Table2[[#This Row],[GradeClass]]=3,"B",IF(Table2[[#This Row],[GradeClass]]=2,"C",IF(Table2[[#This Row],[GradeClass]]=1,"D","F"))))</f>
        <v>C</v>
      </c>
    </row>
    <row r="148" spans="1:17" x14ac:dyDescent="0.3">
      <c r="A148" s="1">
        <v>1147</v>
      </c>
      <c r="B148" s="1">
        <v>17</v>
      </c>
      <c r="C148" s="1">
        <v>1</v>
      </c>
      <c r="D148" s="1" t="str">
        <f>IF(Table2[[#This Row],[Gender Code]]=1,"Male","Female")</f>
        <v>Male</v>
      </c>
      <c r="E148" s="1">
        <v>2</v>
      </c>
      <c r="F148" s="1">
        <v>2</v>
      </c>
      <c r="G148" s="2">
        <v>9.6471241716550598</v>
      </c>
      <c r="H148" s="1">
        <v>1</v>
      </c>
      <c r="I148" s="1">
        <v>1</v>
      </c>
      <c r="J148" s="1">
        <v>2</v>
      </c>
      <c r="K148" s="1">
        <v>1</v>
      </c>
      <c r="L148" s="1">
        <v>0</v>
      </c>
      <c r="M148" s="1">
        <v>0</v>
      </c>
      <c r="N148" s="1">
        <v>1</v>
      </c>
      <c r="O148" s="3">
        <v>3.58888793976501</v>
      </c>
      <c r="P148" s="1">
        <v>0</v>
      </c>
      <c r="Q148" s="1" t="str">
        <f>IF(Table2[[#This Row],[GradeClass]]=4,"A",IF(Table2[[#This Row],[GradeClass]]=3,"B",IF(Table2[[#This Row],[GradeClass]]=2,"C",IF(Table2[[#This Row],[GradeClass]]=1,"D","F"))))</f>
        <v>F</v>
      </c>
    </row>
    <row r="149" spans="1:17" x14ac:dyDescent="0.3">
      <c r="A149" s="1">
        <v>1148</v>
      </c>
      <c r="B149" s="1">
        <v>17</v>
      </c>
      <c r="C149" s="1">
        <v>0</v>
      </c>
      <c r="D149" s="1" t="str">
        <f>IF(Table2[[#This Row],[Gender Code]]=1,"Male","Female")</f>
        <v>Female</v>
      </c>
      <c r="E149" s="1">
        <v>2</v>
      </c>
      <c r="F149" s="1">
        <v>1</v>
      </c>
      <c r="G149" s="2">
        <v>14.057328881002</v>
      </c>
      <c r="H149" s="1">
        <v>11</v>
      </c>
      <c r="I149" s="1">
        <v>0</v>
      </c>
      <c r="J149" s="1">
        <v>3</v>
      </c>
      <c r="K149" s="1">
        <v>0</v>
      </c>
      <c r="L149" s="1">
        <v>1</v>
      </c>
      <c r="M149" s="1">
        <v>0</v>
      </c>
      <c r="N149" s="1">
        <v>0</v>
      </c>
      <c r="O149" s="3">
        <v>2.314587627811</v>
      </c>
      <c r="P149" s="1">
        <v>3</v>
      </c>
      <c r="Q149" s="1" t="str">
        <f>IF(Table2[[#This Row],[GradeClass]]=4,"A",IF(Table2[[#This Row],[GradeClass]]=3,"B",IF(Table2[[#This Row],[GradeClass]]=2,"C",IF(Table2[[#This Row],[GradeClass]]=1,"D","F"))))</f>
        <v>B</v>
      </c>
    </row>
    <row r="150" spans="1:17" x14ac:dyDescent="0.3">
      <c r="A150" s="1">
        <v>1149</v>
      </c>
      <c r="B150" s="1">
        <v>15</v>
      </c>
      <c r="C150" s="1">
        <v>0</v>
      </c>
      <c r="D150" s="1" t="str">
        <f>IF(Table2[[#This Row],[Gender Code]]=1,"Male","Female")</f>
        <v>Female</v>
      </c>
      <c r="E150" s="1">
        <v>1</v>
      </c>
      <c r="F150" s="1">
        <v>4</v>
      </c>
      <c r="G150" s="2">
        <v>1.3602046390484099</v>
      </c>
      <c r="H150" s="1">
        <v>22</v>
      </c>
      <c r="I150" s="1">
        <v>0</v>
      </c>
      <c r="J150" s="1">
        <v>1</v>
      </c>
      <c r="K150" s="1">
        <v>1</v>
      </c>
      <c r="L150" s="1">
        <v>1</v>
      </c>
      <c r="M150" s="1">
        <v>0</v>
      </c>
      <c r="N150" s="1">
        <v>1</v>
      </c>
      <c r="O150" s="3">
        <v>1.0072258202140301</v>
      </c>
      <c r="P150" s="1">
        <v>4</v>
      </c>
      <c r="Q150" s="1" t="str">
        <f>IF(Table2[[#This Row],[GradeClass]]=4,"A",IF(Table2[[#This Row],[GradeClass]]=3,"B",IF(Table2[[#This Row],[GradeClass]]=2,"C",IF(Table2[[#This Row],[GradeClass]]=1,"D","F"))))</f>
        <v>A</v>
      </c>
    </row>
    <row r="151" spans="1:17" x14ac:dyDescent="0.3">
      <c r="A151" s="1">
        <v>1150</v>
      </c>
      <c r="B151" s="1">
        <v>18</v>
      </c>
      <c r="C151" s="1">
        <v>0</v>
      </c>
      <c r="D151" s="1" t="str">
        <f>IF(Table2[[#This Row],[Gender Code]]=1,"Male","Female")</f>
        <v>Female</v>
      </c>
      <c r="E151" s="1">
        <v>2</v>
      </c>
      <c r="F151" s="1">
        <v>2</v>
      </c>
      <c r="G151" s="2">
        <v>3.8757826004670899</v>
      </c>
      <c r="H151" s="1">
        <v>5</v>
      </c>
      <c r="I151" s="1">
        <v>0</v>
      </c>
      <c r="J151" s="1">
        <v>3</v>
      </c>
      <c r="K151" s="1">
        <v>1</v>
      </c>
      <c r="L151" s="1">
        <v>0</v>
      </c>
      <c r="M151" s="1">
        <v>0</v>
      </c>
      <c r="N151" s="1">
        <v>0</v>
      </c>
      <c r="O151" s="3">
        <v>2.88161232146052</v>
      </c>
      <c r="P151" s="1">
        <v>2</v>
      </c>
      <c r="Q151" s="1" t="str">
        <f>IF(Table2[[#This Row],[GradeClass]]=4,"A",IF(Table2[[#This Row],[GradeClass]]=3,"B",IF(Table2[[#This Row],[GradeClass]]=2,"C",IF(Table2[[#This Row],[GradeClass]]=1,"D","F"))))</f>
        <v>C</v>
      </c>
    </row>
    <row r="152" spans="1:17" x14ac:dyDescent="0.3">
      <c r="A152" s="1">
        <v>1151</v>
      </c>
      <c r="B152" s="1">
        <v>17</v>
      </c>
      <c r="C152" s="1">
        <v>0</v>
      </c>
      <c r="D152" s="1" t="str">
        <f>IF(Table2[[#This Row],[Gender Code]]=1,"Male","Female")</f>
        <v>Female</v>
      </c>
      <c r="E152" s="1">
        <v>2</v>
      </c>
      <c r="F152" s="1">
        <v>2</v>
      </c>
      <c r="G152" s="2">
        <v>4.2912964018569904</v>
      </c>
      <c r="H152" s="1">
        <v>1</v>
      </c>
      <c r="I152" s="1">
        <v>0</v>
      </c>
      <c r="J152" s="1">
        <v>1</v>
      </c>
      <c r="K152" s="1">
        <v>0</v>
      </c>
      <c r="L152" s="1">
        <v>1</v>
      </c>
      <c r="M152" s="1">
        <v>1</v>
      </c>
      <c r="N152" s="1">
        <v>0</v>
      </c>
      <c r="O152" s="3">
        <v>2.8045049289116801</v>
      </c>
      <c r="P152" s="1">
        <v>2</v>
      </c>
      <c r="Q152" s="1" t="str">
        <f>IF(Table2[[#This Row],[GradeClass]]=4,"A",IF(Table2[[#This Row],[GradeClass]]=3,"B",IF(Table2[[#This Row],[GradeClass]]=2,"C",IF(Table2[[#This Row],[GradeClass]]=1,"D","F"))))</f>
        <v>C</v>
      </c>
    </row>
    <row r="153" spans="1:17" x14ac:dyDescent="0.3">
      <c r="A153" s="1">
        <v>1152</v>
      </c>
      <c r="B153" s="1">
        <v>17</v>
      </c>
      <c r="C153" s="1">
        <v>1</v>
      </c>
      <c r="D153" s="1" t="str">
        <f>IF(Table2[[#This Row],[Gender Code]]=1,"Male","Female")</f>
        <v>Male</v>
      </c>
      <c r="E153" s="1">
        <v>1</v>
      </c>
      <c r="F153" s="1">
        <v>1</v>
      </c>
      <c r="G153" s="2">
        <v>14.7630150968337</v>
      </c>
      <c r="H153" s="1">
        <v>20</v>
      </c>
      <c r="I153" s="1">
        <v>1</v>
      </c>
      <c r="J153" s="1">
        <v>3</v>
      </c>
      <c r="K153" s="1">
        <v>0</v>
      </c>
      <c r="L153" s="1">
        <v>1</v>
      </c>
      <c r="M153" s="1">
        <v>0</v>
      </c>
      <c r="N153" s="1">
        <v>0</v>
      </c>
      <c r="O153" s="3">
        <v>1.7629211240998599</v>
      </c>
      <c r="P153" s="1">
        <v>4</v>
      </c>
      <c r="Q153" s="1" t="str">
        <f>IF(Table2[[#This Row],[GradeClass]]=4,"A",IF(Table2[[#This Row],[GradeClass]]=3,"B",IF(Table2[[#This Row],[GradeClass]]=2,"C",IF(Table2[[#This Row],[GradeClass]]=1,"D","F"))))</f>
        <v>A</v>
      </c>
    </row>
    <row r="154" spans="1:17" x14ac:dyDescent="0.3">
      <c r="A154" s="1">
        <v>1153</v>
      </c>
      <c r="B154" s="1">
        <v>15</v>
      </c>
      <c r="C154" s="1">
        <v>1</v>
      </c>
      <c r="D154" s="1" t="str">
        <f>IF(Table2[[#This Row],[Gender Code]]=1,"Male","Female")</f>
        <v>Male</v>
      </c>
      <c r="E154" s="1">
        <v>0</v>
      </c>
      <c r="F154" s="1">
        <v>3</v>
      </c>
      <c r="G154" s="2">
        <v>3.7827739265348002</v>
      </c>
      <c r="H154" s="1">
        <v>22</v>
      </c>
      <c r="I154" s="1">
        <v>0</v>
      </c>
      <c r="J154" s="1">
        <v>4</v>
      </c>
      <c r="K154" s="1">
        <v>1</v>
      </c>
      <c r="L154" s="1">
        <v>0</v>
      </c>
      <c r="M154" s="1">
        <v>0</v>
      </c>
      <c r="N154" s="1">
        <v>1</v>
      </c>
      <c r="O154" s="3">
        <v>1.11991126295732</v>
      </c>
      <c r="P154" s="1">
        <v>4</v>
      </c>
      <c r="Q154" s="1" t="str">
        <f>IF(Table2[[#This Row],[GradeClass]]=4,"A",IF(Table2[[#This Row],[GradeClass]]=3,"B",IF(Table2[[#This Row],[GradeClass]]=2,"C",IF(Table2[[#This Row],[GradeClass]]=1,"D","F"))))</f>
        <v>A</v>
      </c>
    </row>
    <row r="155" spans="1:17" x14ac:dyDescent="0.3">
      <c r="A155" s="1">
        <v>1154</v>
      </c>
      <c r="B155" s="1">
        <v>17</v>
      </c>
      <c r="C155" s="1">
        <v>0</v>
      </c>
      <c r="D155" s="1" t="str">
        <f>IF(Table2[[#This Row],[Gender Code]]=1,"Male","Female")</f>
        <v>Female</v>
      </c>
      <c r="E155" s="1">
        <v>0</v>
      </c>
      <c r="F155" s="1">
        <v>2</v>
      </c>
      <c r="G155" s="2">
        <v>11.469835277819501</v>
      </c>
      <c r="H155" s="1">
        <v>23</v>
      </c>
      <c r="I155" s="1">
        <v>0</v>
      </c>
      <c r="J155" s="1">
        <v>2</v>
      </c>
      <c r="K155" s="1">
        <v>0</v>
      </c>
      <c r="L155" s="1">
        <v>0</v>
      </c>
      <c r="M155" s="1">
        <v>0</v>
      </c>
      <c r="N155" s="1">
        <v>0</v>
      </c>
      <c r="O155" s="3">
        <v>1.0306575057198699</v>
      </c>
      <c r="P155" s="1">
        <v>4</v>
      </c>
      <c r="Q155" s="1" t="str">
        <f>IF(Table2[[#This Row],[GradeClass]]=4,"A",IF(Table2[[#This Row],[GradeClass]]=3,"B",IF(Table2[[#This Row],[GradeClass]]=2,"C",IF(Table2[[#This Row],[GradeClass]]=1,"D","F"))))</f>
        <v>A</v>
      </c>
    </row>
    <row r="156" spans="1:17" x14ac:dyDescent="0.3">
      <c r="A156" s="1">
        <v>1155</v>
      </c>
      <c r="B156" s="1">
        <v>15</v>
      </c>
      <c r="C156" s="1">
        <v>1</v>
      </c>
      <c r="D156" s="1" t="str">
        <f>IF(Table2[[#This Row],[Gender Code]]=1,"Male","Female")</f>
        <v>Male</v>
      </c>
      <c r="E156" s="1">
        <v>0</v>
      </c>
      <c r="F156" s="1">
        <v>2</v>
      </c>
      <c r="G156" s="2">
        <v>4.3048764100190704</v>
      </c>
      <c r="H156" s="1">
        <v>2</v>
      </c>
      <c r="I156" s="1">
        <v>0</v>
      </c>
      <c r="J156" s="1">
        <v>2</v>
      </c>
      <c r="K156" s="1">
        <v>1</v>
      </c>
      <c r="L156" s="1">
        <v>0</v>
      </c>
      <c r="M156" s="1">
        <v>0</v>
      </c>
      <c r="N156" s="1">
        <v>0</v>
      </c>
      <c r="O156" s="3">
        <v>3.07561935366143</v>
      </c>
      <c r="P156" s="1">
        <v>1</v>
      </c>
      <c r="Q156" s="1" t="str">
        <f>IF(Table2[[#This Row],[GradeClass]]=4,"A",IF(Table2[[#This Row],[GradeClass]]=3,"B",IF(Table2[[#This Row],[GradeClass]]=2,"C",IF(Table2[[#This Row],[GradeClass]]=1,"D","F"))))</f>
        <v>D</v>
      </c>
    </row>
    <row r="157" spans="1:17" x14ac:dyDescent="0.3">
      <c r="A157" s="1">
        <v>1156</v>
      </c>
      <c r="B157" s="1">
        <v>16</v>
      </c>
      <c r="C157" s="1">
        <v>0</v>
      </c>
      <c r="D157" s="1" t="str">
        <f>IF(Table2[[#This Row],[Gender Code]]=1,"Male","Female")</f>
        <v>Female</v>
      </c>
      <c r="E157" s="1">
        <v>0</v>
      </c>
      <c r="F157" s="1">
        <v>3</v>
      </c>
      <c r="G157" s="2">
        <v>17.2324990016795</v>
      </c>
      <c r="H157" s="1">
        <v>16</v>
      </c>
      <c r="I157" s="1">
        <v>1</v>
      </c>
      <c r="J157" s="1">
        <v>3</v>
      </c>
      <c r="K157" s="1">
        <v>1</v>
      </c>
      <c r="L157" s="1">
        <v>1</v>
      </c>
      <c r="M157" s="1">
        <v>0</v>
      </c>
      <c r="N157" s="1">
        <v>0</v>
      </c>
      <c r="O157" s="3">
        <v>2.6314340651244099</v>
      </c>
      <c r="P157" s="1">
        <v>2</v>
      </c>
      <c r="Q157" s="1" t="str">
        <f>IF(Table2[[#This Row],[GradeClass]]=4,"A",IF(Table2[[#This Row],[GradeClass]]=3,"B",IF(Table2[[#This Row],[GradeClass]]=2,"C",IF(Table2[[#This Row],[GradeClass]]=1,"D","F"))))</f>
        <v>C</v>
      </c>
    </row>
    <row r="158" spans="1:17" x14ac:dyDescent="0.3">
      <c r="A158" s="1">
        <v>1157</v>
      </c>
      <c r="B158" s="1">
        <v>17</v>
      </c>
      <c r="C158" s="1">
        <v>1</v>
      </c>
      <c r="D158" s="1" t="str">
        <f>IF(Table2[[#This Row],[Gender Code]]=1,"Male","Female")</f>
        <v>Male</v>
      </c>
      <c r="E158" s="1">
        <v>0</v>
      </c>
      <c r="F158" s="1">
        <v>1</v>
      </c>
      <c r="G158" s="2">
        <v>18.8437090897927</v>
      </c>
      <c r="H158" s="1">
        <v>28</v>
      </c>
      <c r="I158" s="1">
        <v>0</v>
      </c>
      <c r="J158" s="1">
        <v>0</v>
      </c>
      <c r="K158" s="1">
        <v>0</v>
      </c>
      <c r="L158" s="1">
        <v>1</v>
      </c>
      <c r="M158" s="1">
        <v>1</v>
      </c>
      <c r="N158" s="1">
        <v>1</v>
      </c>
      <c r="O158" s="3">
        <v>0.50306690732791404</v>
      </c>
      <c r="P158" s="1">
        <v>4</v>
      </c>
      <c r="Q158" s="1" t="str">
        <f>IF(Table2[[#This Row],[GradeClass]]=4,"A",IF(Table2[[#This Row],[GradeClass]]=3,"B",IF(Table2[[#This Row],[GradeClass]]=2,"C",IF(Table2[[#This Row],[GradeClass]]=1,"D","F"))))</f>
        <v>A</v>
      </c>
    </row>
    <row r="159" spans="1:17" x14ac:dyDescent="0.3">
      <c r="A159" s="1">
        <v>1158</v>
      </c>
      <c r="B159" s="1">
        <v>16</v>
      </c>
      <c r="C159" s="1">
        <v>0</v>
      </c>
      <c r="D159" s="1" t="str">
        <f>IF(Table2[[#This Row],[Gender Code]]=1,"Male","Female")</f>
        <v>Female</v>
      </c>
      <c r="E159" s="1">
        <v>0</v>
      </c>
      <c r="F159" s="1">
        <v>2</v>
      </c>
      <c r="G159" s="2">
        <v>10.3698594988448</v>
      </c>
      <c r="H159" s="1">
        <v>6</v>
      </c>
      <c r="I159" s="1">
        <v>0</v>
      </c>
      <c r="J159" s="1">
        <v>2</v>
      </c>
      <c r="K159" s="1">
        <v>0</v>
      </c>
      <c r="L159" s="1">
        <v>0</v>
      </c>
      <c r="M159" s="1">
        <v>0</v>
      </c>
      <c r="N159" s="1">
        <v>0</v>
      </c>
      <c r="O159" s="3">
        <v>2.7842378371428098</v>
      </c>
      <c r="P159" s="1">
        <v>2</v>
      </c>
      <c r="Q159" s="1" t="str">
        <f>IF(Table2[[#This Row],[GradeClass]]=4,"A",IF(Table2[[#This Row],[GradeClass]]=3,"B",IF(Table2[[#This Row],[GradeClass]]=2,"C",IF(Table2[[#This Row],[GradeClass]]=1,"D","F"))))</f>
        <v>C</v>
      </c>
    </row>
    <row r="160" spans="1:17" x14ac:dyDescent="0.3">
      <c r="A160" s="1">
        <v>1159</v>
      </c>
      <c r="B160" s="1">
        <v>15</v>
      </c>
      <c r="C160" s="1">
        <v>1</v>
      </c>
      <c r="D160" s="1" t="str">
        <f>IF(Table2[[#This Row],[Gender Code]]=1,"Male","Female")</f>
        <v>Male</v>
      </c>
      <c r="E160" s="1">
        <v>0</v>
      </c>
      <c r="F160" s="1">
        <v>3</v>
      </c>
      <c r="G160" s="2">
        <v>7.0461776841835597</v>
      </c>
      <c r="H160" s="1">
        <v>28</v>
      </c>
      <c r="I160" s="1">
        <v>0</v>
      </c>
      <c r="J160" s="1">
        <v>2</v>
      </c>
      <c r="K160" s="1">
        <v>0</v>
      </c>
      <c r="L160" s="1">
        <v>0</v>
      </c>
      <c r="M160" s="1">
        <v>0</v>
      </c>
      <c r="N160" s="1">
        <v>0</v>
      </c>
      <c r="O160" s="3">
        <v>0.24762676508656301</v>
      </c>
      <c r="P160" s="1">
        <v>4</v>
      </c>
      <c r="Q160" s="1" t="str">
        <f>IF(Table2[[#This Row],[GradeClass]]=4,"A",IF(Table2[[#This Row],[GradeClass]]=3,"B",IF(Table2[[#This Row],[GradeClass]]=2,"C",IF(Table2[[#This Row],[GradeClass]]=1,"D","F"))))</f>
        <v>A</v>
      </c>
    </row>
    <row r="161" spans="1:17" x14ac:dyDescent="0.3">
      <c r="A161" s="1">
        <v>1160</v>
      </c>
      <c r="B161" s="1">
        <v>18</v>
      </c>
      <c r="C161" s="1">
        <v>0</v>
      </c>
      <c r="D161" s="1" t="str">
        <f>IF(Table2[[#This Row],[Gender Code]]=1,"Male","Female")</f>
        <v>Female</v>
      </c>
      <c r="E161" s="1">
        <v>0</v>
      </c>
      <c r="F161" s="1">
        <v>1</v>
      </c>
      <c r="G161" s="2">
        <v>4.6811555003499796</v>
      </c>
      <c r="H161" s="1">
        <v>20</v>
      </c>
      <c r="I161" s="1">
        <v>0</v>
      </c>
      <c r="J161" s="1">
        <v>3</v>
      </c>
      <c r="K161" s="1">
        <v>0</v>
      </c>
      <c r="L161" s="1">
        <v>0</v>
      </c>
      <c r="M161" s="1">
        <v>0</v>
      </c>
      <c r="N161" s="1">
        <v>1</v>
      </c>
      <c r="O161" s="3">
        <v>1.1895487696187801</v>
      </c>
      <c r="P161" s="1">
        <v>4</v>
      </c>
      <c r="Q161" s="1" t="str">
        <f>IF(Table2[[#This Row],[GradeClass]]=4,"A",IF(Table2[[#This Row],[GradeClass]]=3,"B",IF(Table2[[#This Row],[GradeClass]]=2,"C",IF(Table2[[#This Row],[GradeClass]]=1,"D","F"))))</f>
        <v>A</v>
      </c>
    </row>
    <row r="162" spans="1:17" x14ac:dyDescent="0.3">
      <c r="A162" s="1">
        <v>1161</v>
      </c>
      <c r="B162" s="1">
        <v>17</v>
      </c>
      <c r="C162" s="1">
        <v>0</v>
      </c>
      <c r="D162" s="1" t="str">
        <f>IF(Table2[[#This Row],[Gender Code]]=1,"Male","Female")</f>
        <v>Female</v>
      </c>
      <c r="E162" s="1">
        <v>2</v>
      </c>
      <c r="F162" s="1">
        <v>2</v>
      </c>
      <c r="G162" s="2">
        <v>0.99562003046087499</v>
      </c>
      <c r="H162" s="1">
        <v>4</v>
      </c>
      <c r="I162" s="1">
        <v>1</v>
      </c>
      <c r="J162" s="1">
        <v>3</v>
      </c>
      <c r="K162" s="1">
        <v>1</v>
      </c>
      <c r="L162" s="1">
        <v>0</v>
      </c>
      <c r="M162" s="1">
        <v>0</v>
      </c>
      <c r="N162" s="1">
        <v>1</v>
      </c>
      <c r="O162" s="3">
        <v>3.37599400880283</v>
      </c>
      <c r="P162" s="1">
        <v>1</v>
      </c>
      <c r="Q162" s="1" t="str">
        <f>IF(Table2[[#This Row],[GradeClass]]=4,"A",IF(Table2[[#This Row],[GradeClass]]=3,"B",IF(Table2[[#This Row],[GradeClass]]=2,"C",IF(Table2[[#This Row],[GradeClass]]=1,"D","F"))))</f>
        <v>D</v>
      </c>
    </row>
    <row r="163" spans="1:17" x14ac:dyDescent="0.3">
      <c r="A163" s="1">
        <v>1162</v>
      </c>
      <c r="B163" s="1">
        <v>15</v>
      </c>
      <c r="C163" s="1">
        <v>1</v>
      </c>
      <c r="D163" s="1" t="str">
        <f>IF(Table2[[#This Row],[Gender Code]]=1,"Male","Female")</f>
        <v>Male</v>
      </c>
      <c r="E163" s="1">
        <v>3</v>
      </c>
      <c r="F163" s="1">
        <v>3</v>
      </c>
      <c r="G163" s="2">
        <v>5.3700015239498997</v>
      </c>
      <c r="H163" s="1">
        <v>22</v>
      </c>
      <c r="I163" s="1">
        <v>1</v>
      </c>
      <c r="J163" s="1">
        <v>3</v>
      </c>
      <c r="K163" s="1">
        <v>0</v>
      </c>
      <c r="L163" s="1">
        <v>0</v>
      </c>
      <c r="M163" s="1">
        <v>0</v>
      </c>
      <c r="N163" s="1">
        <v>0</v>
      </c>
      <c r="O163" s="3">
        <v>1.2935735564459501</v>
      </c>
      <c r="P163" s="1">
        <v>4</v>
      </c>
      <c r="Q163" s="1" t="str">
        <f>IF(Table2[[#This Row],[GradeClass]]=4,"A",IF(Table2[[#This Row],[GradeClass]]=3,"B",IF(Table2[[#This Row],[GradeClass]]=2,"C",IF(Table2[[#This Row],[GradeClass]]=1,"D","F"))))</f>
        <v>A</v>
      </c>
    </row>
    <row r="164" spans="1:17" x14ac:dyDescent="0.3">
      <c r="A164" s="1">
        <v>1163</v>
      </c>
      <c r="B164" s="1">
        <v>18</v>
      </c>
      <c r="C164" s="1">
        <v>0</v>
      </c>
      <c r="D164" s="1" t="str">
        <f>IF(Table2[[#This Row],[Gender Code]]=1,"Male","Female")</f>
        <v>Female</v>
      </c>
      <c r="E164" s="1">
        <v>0</v>
      </c>
      <c r="F164" s="1">
        <v>2</v>
      </c>
      <c r="G164" s="2">
        <v>13.0847155989063</v>
      </c>
      <c r="H164" s="1">
        <v>0</v>
      </c>
      <c r="I164" s="1">
        <v>1</v>
      </c>
      <c r="J164" s="1">
        <v>3</v>
      </c>
      <c r="K164" s="1">
        <v>0</v>
      </c>
      <c r="L164" s="1">
        <v>0</v>
      </c>
      <c r="M164" s="1">
        <v>1</v>
      </c>
      <c r="N164" s="1">
        <v>1</v>
      </c>
      <c r="O164" s="3">
        <v>3.7185869042869601</v>
      </c>
      <c r="P164" s="1">
        <v>0</v>
      </c>
      <c r="Q164" s="1" t="str">
        <f>IF(Table2[[#This Row],[GradeClass]]=4,"A",IF(Table2[[#This Row],[GradeClass]]=3,"B",IF(Table2[[#This Row],[GradeClass]]=2,"C",IF(Table2[[#This Row],[GradeClass]]=1,"D","F"))))</f>
        <v>F</v>
      </c>
    </row>
    <row r="165" spans="1:17" x14ac:dyDescent="0.3">
      <c r="A165" s="1">
        <v>1164</v>
      </c>
      <c r="B165" s="1">
        <v>18</v>
      </c>
      <c r="C165" s="1">
        <v>1</v>
      </c>
      <c r="D165" s="1" t="str">
        <f>IF(Table2[[#This Row],[Gender Code]]=1,"Male","Female")</f>
        <v>Male</v>
      </c>
      <c r="E165" s="1">
        <v>3</v>
      </c>
      <c r="F165" s="1">
        <v>2</v>
      </c>
      <c r="G165" s="2">
        <v>10.672338626184199</v>
      </c>
      <c r="H165" s="1">
        <v>7</v>
      </c>
      <c r="I165" s="1">
        <v>0</v>
      </c>
      <c r="J165" s="1">
        <v>3</v>
      </c>
      <c r="K165" s="1">
        <v>1</v>
      </c>
      <c r="L165" s="1">
        <v>0</v>
      </c>
      <c r="M165" s="1">
        <v>0</v>
      </c>
      <c r="N165" s="1">
        <v>0</v>
      </c>
      <c r="O165" s="3">
        <v>2.6705596148198198</v>
      </c>
      <c r="P165" s="1">
        <v>2</v>
      </c>
      <c r="Q165" s="1" t="str">
        <f>IF(Table2[[#This Row],[GradeClass]]=4,"A",IF(Table2[[#This Row],[GradeClass]]=3,"B",IF(Table2[[#This Row],[GradeClass]]=2,"C",IF(Table2[[#This Row],[GradeClass]]=1,"D","F"))))</f>
        <v>C</v>
      </c>
    </row>
    <row r="166" spans="1:17" x14ac:dyDescent="0.3">
      <c r="A166" s="1">
        <v>1165</v>
      </c>
      <c r="B166" s="1">
        <v>16</v>
      </c>
      <c r="C166" s="1">
        <v>1</v>
      </c>
      <c r="D166" s="1" t="str">
        <f>IF(Table2[[#This Row],[Gender Code]]=1,"Male","Female")</f>
        <v>Male</v>
      </c>
      <c r="E166" s="1">
        <v>1</v>
      </c>
      <c r="F166" s="1">
        <v>3</v>
      </c>
      <c r="G166" s="2">
        <v>18.880825565618501</v>
      </c>
      <c r="H166" s="1">
        <v>11</v>
      </c>
      <c r="I166" s="1">
        <v>1</v>
      </c>
      <c r="J166" s="1">
        <v>2</v>
      </c>
      <c r="K166" s="1">
        <v>1</v>
      </c>
      <c r="L166" s="1">
        <v>0</v>
      </c>
      <c r="M166" s="1">
        <v>0</v>
      </c>
      <c r="N166" s="1">
        <v>0</v>
      </c>
      <c r="O166" s="3">
        <v>2.3696480134496101</v>
      </c>
      <c r="P166" s="1">
        <v>3</v>
      </c>
      <c r="Q166" s="1" t="str">
        <f>IF(Table2[[#This Row],[GradeClass]]=4,"A",IF(Table2[[#This Row],[GradeClass]]=3,"B",IF(Table2[[#This Row],[GradeClass]]=2,"C",IF(Table2[[#This Row],[GradeClass]]=1,"D","F"))))</f>
        <v>B</v>
      </c>
    </row>
    <row r="167" spans="1:17" x14ac:dyDescent="0.3">
      <c r="A167" s="1">
        <v>1166</v>
      </c>
      <c r="B167" s="1">
        <v>15</v>
      </c>
      <c r="C167" s="1">
        <v>0</v>
      </c>
      <c r="D167" s="1" t="str">
        <f>IF(Table2[[#This Row],[Gender Code]]=1,"Male","Female")</f>
        <v>Female</v>
      </c>
      <c r="E167" s="1">
        <v>0</v>
      </c>
      <c r="F167" s="1">
        <v>3</v>
      </c>
      <c r="G167" s="2">
        <v>7.92554524983401</v>
      </c>
      <c r="H167" s="1">
        <v>13</v>
      </c>
      <c r="I167" s="1">
        <v>0</v>
      </c>
      <c r="J167" s="1">
        <v>2</v>
      </c>
      <c r="K167" s="1">
        <v>0</v>
      </c>
      <c r="L167" s="1">
        <v>1</v>
      </c>
      <c r="M167" s="1">
        <v>0</v>
      </c>
      <c r="N167" s="1">
        <v>0</v>
      </c>
      <c r="O167" s="3">
        <v>1.6244868202221501</v>
      </c>
      <c r="P167" s="1">
        <v>4</v>
      </c>
      <c r="Q167" s="1" t="str">
        <f>IF(Table2[[#This Row],[GradeClass]]=4,"A",IF(Table2[[#This Row],[GradeClass]]=3,"B",IF(Table2[[#This Row],[GradeClass]]=2,"C",IF(Table2[[#This Row],[GradeClass]]=1,"D","F"))))</f>
        <v>A</v>
      </c>
    </row>
    <row r="168" spans="1:17" x14ac:dyDescent="0.3">
      <c r="A168" s="1">
        <v>1167</v>
      </c>
      <c r="B168" s="1">
        <v>18</v>
      </c>
      <c r="C168" s="1">
        <v>1</v>
      </c>
      <c r="D168" s="1" t="str">
        <f>IF(Table2[[#This Row],[Gender Code]]=1,"Male","Female")</f>
        <v>Male</v>
      </c>
      <c r="E168" s="1">
        <v>0</v>
      </c>
      <c r="F168" s="1">
        <v>1</v>
      </c>
      <c r="G168" s="2">
        <v>13.8772668465678</v>
      </c>
      <c r="H168" s="1">
        <v>15</v>
      </c>
      <c r="I168" s="1">
        <v>1</v>
      </c>
      <c r="J168" s="1">
        <v>2</v>
      </c>
      <c r="K168" s="1">
        <v>1</v>
      </c>
      <c r="L168" s="1">
        <v>1</v>
      </c>
      <c r="M168" s="1">
        <v>0</v>
      </c>
      <c r="N168" s="1">
        <v>0</v>
      </c>
      <c r="O168" s="3">
        <v>2.5374768278143498</v>
      </c>
      <c r="P168" s="1">
        <v>2</v>
      </c>
      <c r="Q168" s="1" t="str">
        <f>IF(Table2[[#This Row],[GradeClass]]=4,"A",IF(Table2[[#This Row],[GradeClass]]=3,"B",IF(Table2[[#This Row],[GradeClass]]=2,"C",IF(Table2[[#This Row],[GradeClass]]=1,"D","F"))))</f>
        <v>C</v>
      </c>
    </row>
    <row r="169" spans="1:17" x14ac:dyDescent="0.3">
      <c r="A169" s="1">
        <v>1168</v>
      </c>
      <c r="B169" s="1">
        <v>17</v>
      </c>
      <c r="C169" s="1">
        <v>1</v>
      </c>
      <c r="D169" s="1" t="str">
        <f>IF(Table2[[#This Row],[Gender Code]]=1,"Male","Female")</f>
        <v>Male</v>
      </c>
      <c r="E169" s="1">
        <v>1</v>
      </c>
      <c r="F169" s="1">
        <v>0</v>
      </c>
      <c r="G169" s="2">
        <v>9.7864549495024207</v>
      </c>
      <c r="H169" s="1">
        <v>9</v>
      </c>
      <c r="I169" s="1">
        <v>0</v>
      </c>
      <c r="J169" s="1">
        <v>4</v>
      </c>
      <c r="K169" s="1">
        <v>0</v>
      </c>
      <c r="L169" s="1">
        <v>1</v>
      </c>
      <c r="M169" s="1">
        <v>0</v>
      </c>
      <c r="N169" s="1">
        <v>0</v>
      </c>
      <c r="O169" s="3">
        <v>2.2984179285094699</v>
      </c>
      <c r="P169" s="1">
        <v>3</v>
      </c>
      <c r="Q169" s="1" t="str">
        <f>IF(Table2[[#This Row],[GradeClass]]=4,"A",IF(Table2[[#This Row],[GradeClass]]=3,"B",IF(Table2[[#This Row],[GradeClass]]=2,"C",IF(Table2[[#This Row],[GradeClass]]=1,"D","F"))))</f>
        <v>B</v>
      </c>
    </row>
    <row r="170" spans="1:17" x14ac:dyDescent="0.3">
      <c r="A170" s="1">
        <v>1169</v>
      </c>
      <c r="B170" s="1">
        <v>17</v>
      </c>
      <c r="C170" s="1">
        <v>1</v>
      </c>
      <c r="D170" s="1" t="str">
        <f>IF(Table2[[#This Row],[Gender Code]]=1,"Male","Female")</f>
        <v>Male</v>
      </c>
      <c r="E170" s="1">
        <v>2</v>
      </c>
      <c r="F170" s="1">
        <v>2</v>
      </c>
      <c r="G170" s="2">
        <v>10.251524318484201</v>
      </c>
      <c r="H170" s="1">
        <v>14</v>
      </c>
      <c r="I170" s="1">
        <v>0</v>
      </c>
      <c r="J170" s="1">
        <v>3</v>
      </c>
      <c r="K170" s="1">
        <v>1</v>
      </c>
      <c r="L170" s="1">
        <v>0</v>
      </c>
      <c r="M170" s="1">
        <v>0</v>
      </c>
      <c r="N170" s="1">
        <v>0</v>
      </c>
      <c r="O170" s="3">
        <v>2.2598041504961102</v>
      </c>
      <c r="P170" s="1">
        <v>3</v>
      </c>
      <c r="Q170" s="1" t="str">
        <f>IF(Table2[[#This Row],[GradeClass]]=4,"A",IF(Table2[[#This Row],[GradeClass]]=3,"B",IF(Table2[[#This Row],[GradeClass]]=2,"C",IF(Table2[[#This Row],[GradeClass]]=1,"D","F"))))</f>
        <v>B</v>
      </c>
    </row>
    <row r="171" spans="1:17" x14ac:dyDescent="0.3">
      <c r="A171" s="1">
        <v>1170</v>
      </c>
      <c r="B171" s="1">
        <v>16</v>
      </c>
      <c r="C171" s="1">
        <v>1</v>
      </c>
      <c r="D171" s="1" t="str">
        <f>IF(Table2[[#This Row],[Gender Code]]=1,"Male","Female")</f>
        <v>Male</v>
      </c>
      <c r="E171" s="1">
        <v>2</v>
      </c>
      <c r="F171" s="1">
        <v>2</v>
      </c>
      <c r="G171" s="2">
        <v>5.3554862920823503</v>
      </c>
      <c r="H171" s="1">
        <v>20</v>
      </c>
      <c r="I171" s="1">
        <v>0</v>
      </c>
      <c r="J171" s="1">
        <v>2</v>
      </c>
      <c r="K171" s="1">
        <v>0</v>
      </c>
      <c r="L171" s="1">
        <v>1</v>
      </c>
      <c r="M171" s="1">
        <v>0</v>
      </c>
      <c r="N171" s="1">
        <v>0</v>
      </c>
      <c r="O171" s="3">
        <v>1.3213433008698801</v>
      </c>
      <c r="P171" s="1">
        <v>4</v>
      </c>
      <c r="Q171" s="1" t="str">
        <f>IF(Table2[[#This Row],[GradeClass]]=4,"A",IF(Table2[[#This Row],[GradeClass]]=3,"B",IF(Table2[[#This Row],[GradeClass]]=2,"C",IF(Table2[[#This Row],[GradeClass]]=1,"D","F"))))</f>
        <v>A</v>
      </c>
    </row>
    <row r="172" spans="1:17" x14ac:dyDescent="0.3">
      <c r="A172" s="1">
        <v>1171</v>
      </c>
      <c r="B172" s="1">
        <v>18</v>
      </c>
      <c r="C172" s="1">
        <v>1</v>
      </c>
      <c r="D172" s="1" t="str">
        <f>IF(Table2[[#This Row],[Gender Code]]=1,"Male","Female")</f>
        <v>Male</v>
      </c>
      <c r="E172" s="1">
        <v>0</v>
      </c>
      <c r="F172" s="1">
        <v>2</v>
      </c>
      <c r="G172" s="2">
        <v>9.0990155368399908</v>
      </c>
      <c r="H172" s="1">
        <v>23</v>
      </c>
      <c r="I172" s="1">
        <v>0</v>
      </c>
      <c r="J172" s="1">
        <v>3</v>
      </c>
      <c r="K172" s="1">
        <v>0</v>
      </c>
      <c r="L172" s="1">
        <v>1</v>
      </c>
      <c r="M172" s="1">
        <v>0</v>
      </c>
      <c r="N172" s="1">
        <v>0</v>
      </c>
      <c r="O172" s="3">
        <v>0.94997422812385601</v>
      </c>
      <c r="P172" s="1">
        <v>4</v>
      </c>
      <c r="Q172" s="1" t="str">
        <f>IF(Table2[[#This Row],[GradeClass]]=4,"A",IF(Table2[[#This Row],[GradeClass]]=3,"B",IF(Table2[[#This Row],[GradeClass]]=2,"C",IF(Table2[[#This Row],[GradeClass]]=1,"D","F"))))</f>
        <v>A</v>
      </c>
    </row>
    <row r="173" spans="1:17" x14ac:dyDescent="0.3">
      <c r="A173" s="1">
        <v>1172</v>
      </c>
      <c r="B173" s="1">
        <v>15</v>
      </c>
      <c r="C173" s="1">
        <v>0</v>
      </c>
      <c r="D173" s="1" t="str">
        <f>IF(Table2[[#This Row],[Gender Code]]=1,"Male","Female")</f>
        <v>Female</v>
      </c>
      <c r="E173" s="1">
        <v>0</v>
      </c>
      <c r="F173" s="1">
        <v>2</v>
      </c>
      <c r="G173" s="2">
        <v>9.4156999402541395</v>
      </c>
      <c r="H173" s="1">
        <v>25</v>
      </c>
      <c r="I173" s="1">
        <v>0</v>
      </c>
      <c r="J173" s="1">
        <v>2</v>
      </c>
      <c r="K173" s="1">
        <v>1</v>
      </c>
      <c r="L173" s="1">
        <v>0</v>
      </c>
      <c r="M173" s="1">
        <v>0</v>
      </c>
      <c r="N173" s="1">
        <v>1</v>
      </c>
      <c r="O173" s="3">
        <v>0.81878661607305103</v>
      </c>
      <c r="P173" s="1">
        <v>4</v>
      </c>
      <c r="Q173" s="1" t="str">
        <f>IF(Table2[[#This Row],[GradeClass]]=4,"A",IF(Table2[[#This Row],[GradeClass]]=3,"B",IF(Table2[[#This Row],[GradeClass]]=2,"C",IF(Table2[[#This Row],[GradeClass]]=1,"D","F"))))</f>
        <v>A</v>
      </c>
    </row>
    <row r="174" spans="1:17" x14ac:dyDescent="0.3">
      <c r="A174" s="1">
        <v>1173</v>
      </c>
      <c r="B174" s="1">
        <v>17</v>
      </c>
      <c r="C174" s="1">
        <v>1</v>
      </c>
      <c r="D174" s="1" t="str">
        <f>IF(Table2[[#This Row],[Gender Code]]=1,"Male","Female")</f>
        <v>Male</v>
      </c>
      <c r="E174" s="1">
        <v>0</v>
      </c>
      <c r="F174" s="1">
        <v>1</v>
      </c>
      <c r="G174" s="2">
        <v>14.1328504349786</v>
      </c>
      <c r="H174" s="1">
        <v>14</v>
      </c>
      <c r="I174" s="1">
        <v>1</v>
      </c>
      <c r="J174" s="1">
        <v>3</v>
      </c>
      <c r="K174" s="1">
        <v>0</v>
      </c>
      <c r="L174" s="1">
        <v>0</v>
      </c>
      <c r="M174" s="1">
        <v>0</v>
      </c>
      <c r="N174" s="1">
        <v>0</v>
      </c>
      <c r="O174" s="3">
        <v>2.33922451275359</v>
      </c>
      <c r="P174" s="1">
        <v>3</v>
      </c>
      <c r="Q174" s="1" t="str">
        <f>IF(Table2[[#This Row],[GradeClass]]=4,"A",IF(Table2[[#This Row],[GradeClass]]=3,"B",IF(Table2[[#This Row],[GradeClass]]=2,"C",IF(Table2[[#This Row],[GradeClass]]=1,"D","F"))))</f>
        <v>B</v>
      </c>
    </row>
    <row r="175" spans="1:17" x14ac:dyDescent="0.3">
      <c r="A175" s="1">
        <v>1174</v>
      </c>
      <c r="B175" s="1">
        <v>18</v>
      </c>
      <c r="C175" s="1">
        <v>1</v>
      </c>
      <c r="D175" s="1" t="str">
        <f>IF(Table2[[#This Row],[Gender Code]]=1,"Male","Female")</f>
        <v>Male</v>
      </c>
      <c r="E175" s="1">
        <v>0</v>
      </c>
      <c r="F175" s="1">
        <v>2</v>
      </c>
      <c r="G175" s="2">
        <v>18.812799983722201</v>
      </c>
      <c r="H175" s="1">
        <v>9</v>
      </c>
      <c r="I175" s="1">
        <v>0</v>
      </c>
      <c r="J175" s="1">
        <v>2</v>
      </c>
      <c r="K175" s="1">
        <v>0</v>
      </c>
      <c r="L175" s="1">
        <v>1</v>
      </c>
      <c r="M175" s="1">
        <v>0</v>
      </c>
      <c r="N175" s="1">
        <v>0</v>
      </c>
      <c r="O175" s="3">
        <v>2.6827762879633701</v>
      </c>
      <c r="P175" s="1">
        <v>2</v>
      </c>
      <c r="Q175" s="1" t="str">
        <f>IF(Table2[[#This Row],[GradeClass]]=4,"A",IF(Table2[[#This Row],[GradeClass]]=3,"B",IF(Table2[[#This Row],[GradeClass]]=2,"C",IF(Table2[[#This Row],[GradeClass]]=1,"D","F"))))</f>
        <v>C</v>
      </c>
    </row>
    <row r="176" spans="1:17" x14ac:dyDescent="0.3">
      <c r="A176" s="1">
        <v>1175</v>
      </c>
      <c r="B176" s="1">
        <v>18</v>
      </c>
      <c r="C176" s="1">
        <v>1</v>
      </c>
      <c r="D176" s="1" t="str">
        <f>IF(Table2[[#This Row],[Gender Code]]=1,"Male","Female")</f>
        <v>Male</v>
      </c>
      <c r="E176" s="1">
        <v>0</v>
      </c>
      <c r="F176" s="1">
        <v>1</v>
      </c>
      <c r="G176" s="2">
        <v>6.5864255496500803</v>
      </c>
      <c r="H176" s="1">
        <v>20</v>
      </c>
      <c r="I176" s="1">
        <v>1</v>
      </c>
      <c r="J176" s="1">
        <v>1</v>
      </c>
      <c r="K176" s="1">
        <v>1</v>
      </c>
      <c r="L176" s="1">
        <v>0</v>
      </c>
      <c r="M176" s="1">
        <v>0</v>
      </c>
      <c r="N176" s="1">
        <v>0</v>
      </c>
      <c r="O176" s="3">
        <v>1.54383747108562</v>
      </c>
      <c r="P176" s="1">
        <v>4</v>
      </c>
      <c r="Q176" s="1" t="str">
        <f>IF(Table2[[#This Row],[GradeClass]]=4,"A",IF(Table2[[#This Row],[GradeClass]]=3,"B",IF(Table2[[#This Row],[GradeClass]]=2,"C",IF(Table2[[#This Row],[GradeClass]]=1,"D","F"))))</f>
        <v>A</v>
      </c>
    </row>
    <row r="177" spans="1:17" x14ac:dyDescent="0.3">
      <c r="A177" s="1">
        <v>1176</v>
      </c>
      <c r="B177" s="1">
        <v>16</v>
      </c>
      <c r="C177" s="1">
        <v>1</v>
      </c>
      <c r="D177" s="1" t="str">
        <f>IF(Table2[[#This Row],[Gender Code]]=1,"Male","Female")</f>
        <v>Male</v>
      </c>
      <c r="E177" s="1">
        <v>0</v>
      </c>
      <c r="F177" s="1">
        <v>2</v>
      </c>
      <c r="G177" s="2">
        <v>0.84400937162596801</v>
      </c>
      <c r="H177" s="1">
        <v>27</v>
      </c>
      <c r="I177" s="1">
        <v>0</v>
      </c>
      <c r="J177" s="1">
        <v>3</v>
      </c>
      <c r="K177" s="1">
        <v>1</v>
      </c>
      <c r="L177" s="1">
        <v>0</v>
      </c>
      <c r="M177" s="1">
        <v>0</v>
      </c>
      <c r="N177" s="1">
        <v>0</v>
      </c>
      <c r="O177" s="3">
        <v>0.196901104823622</v>
      </c>
      <c r="P177" s="1">
        <v>4</v>
      </c>
      <c r="Q177" s="1" t="str">
        <f>IF(Table2[[#This Row],[GradeClass]]=4,"A",IF(Table2[[#This Row],[GradeClass]]=3,"B",IF(Table2[[#This Row],[GradeClass]]=2,"C",IF(Table2[[#This Row],[GradeClass]]=1,"D","F"))))</f>
        <v>A</v>
      </c>
    </row>
    <row r="178" spans="1:17" x14ac:dyDescent="0.3">
      <c r="A178" s="1">
        <v>1177</v>
      </c>
      <c r="B178" s="1">
        <v>17</v>
      </c>
      <c r="C178" s="1">
        <v>1</v>
      </c>
      <c r="D178" s="1" t="str">
        <f>IF(Table2[[#This Row],[Gender Code]]=1,"Male","Female")</f>
        <v>Male</v>
      </c>
      <c r="E178" s="1">
        <v>2</v>
      </c>
      <c r="F178" s="1">
        <v>2</v>
      </c>
      <c r="G178" s="2">
        <v>9.92590251001279</v>
      </c>
      <c r="H178" s="1">
        <v>6</v>
      </c>
      <c r="I178" s="1">
        <v>0</v>
      </c>
      <c r="J178" s="1">
        <v>3</v>
      </c>
      <c r="K178" s="1">
        <v>0</v>
      </c>
      <c r="L178" s="1">
        <v>0</v>
      </c>
      <c r="M178" s="1">
        <v>0</v>
      </c>
      <c r="N178" s="1">
        <v>0</v>
      </c>
      <c r="O178" s="3">
        <v>2.74861025744808</v>
      </c>
      <c r="P178" s="1">
        <v>2</v>
      </c>
      <c r="Q178" s="1" t="str">
        <f>IF(Table2[[#This Row],[GradeClass]]=4,"A",IF(Table2[[#This Row],[GradeClass]]=3,"B",IF(Table2[[#This Row],[GradeClass]]=2,"C",IF(Table2[[#This Row],[GradeClass]]=1,"D","F"))))</f>
        <v>C</v>
      </c>
    </row>
    <row r="179" spans="1:17" x14ac:dyDescent="0.3">
      <c r="A179" s="1">
        <v>1178</v>
      </c>
      <c r="B179" s="1">
        <v>17</v>
      </c>
      <c r="C179" s="1">
        <v>0</v>
      </c>
      <c r="D179" s="1" t="str">
        <f>IF(Table2[[#This Row],[Gender Code]]=1,"Male","Female")</f>
        <v>Female</v>
      </c>
      <c r="E179" s="1">
        <v>3</v>
      </c>
      <c r="F179" s="1">
        <v>1</v>
      </c>
      <c r="G179" s="2">
        <v>10.889226642983299</v>
      </c>
      <c r="H179" s="1">
        <v>25</v>
      </c>
      <c r="I179" s="1">
        <v>1</v>
      </c>
      <c r="J179" s="1">
        <v>2</v>
      </c>
      <c r="K179" s="1">
        <v>1</v>
      </c>
      <c r="L179" s="1">
        <v>0</v>
      </c>
      <c r="M179" s="1">
        <v>1</v>
      </c>
      <c r="N179" s="1">
        <v>0</v>
      </c>
      <c r="O179" s="3">
        <v>1.1048937876999401</v>
      </c>
      <c r="P179" s="1">
        <v>4</v>
      </c>
      <c r="Q179" s="1" t="str">
        <f>IF(Table2[[#This Row],[GradeClass]]=4,"A",IF(Table2[[#This Row],[GradeClass]]=3,"B",IF(Table2[[#This Row],[GradeClass]]=2,"C",IF(Table2[[#This Row],[GradeClass]]=1,"D","F"))))</f>
        <v>A</v>
      </c>
    </row>
    <row r="180" spans="1:17" x14ac:dyDescent="0.3">
      <c r="A180" s="1">
        <v>1179</v>
      </c>
      <c r="B180" s="1">
        <v>15</v>
      </c>
      <c r="C180" s="1">
        <v>1</v>
      </c>
      <c r="D180" s="1" t="str">
        <f>IF(Table2[[#This Row],[Gender Code]]=1,"Male","Female")</f>
        <v>Male</v>
      </c>
      <c r="E180" s="1">
        <v>0</v>
      </c>
      <c r="F180" s="1">
        <v>1</v>
      </c>
      <c r="G180" s="2">
        <v>3.3688110226383001</v>
      </c>
      <c r="H180" s="1">
        <v>2</v>
      </c>
      <c r="I180" s="1">
        <v>0</v>
      </c>
      <c r="J180" s="1">
        <v>2</v>
      </c>
      <c r="K180" s="1">
        <v>1</v>
      </c>
      <c r="L180" s="1">
        <v>0</v>
      </c>
      <c r="M180" s="1">
        <v>0</v>
      </c>
      <c r="N180" s="1">
        <v>0</v>
      </c>
      <c r="O180" s="3">
        <v>2.5534398114439298</v>
      </c>
      <c r="P180" s="1">
        <v>2</v>
      </c>
      <c r="Q180" s="1" t="str">
        <f>IF(Table2[[#This Row],[GradeClass]]=4,"A",IF(Table2[[#This Row],[GradeClass]]=3,"B",IF(Table2[[#This Row],[GradeClass]]=2,"C",IF(Table2[[#This Row],[GradeClass]]=1,"D","F"))))</f>
        <v>C</v>
      </c>
    </row>
    <row r="181" spans="1:17" x14ac:dyDescent="0.3">
      <c r="A181" s="1">
        <v>1180</v>
      </c>
      <c r="B181" s="1">
        <v>17</v>
      </c>
      <c r="C181" s="1">
        <v>0</v>
      </c>
      <c r="D181" s="1" t="str">
        <f>IF(Table2[[#This Row],[Gender Code]]=1,"Male","Female")</f>
        <v>Female</v>
      </c>
      <c r="E181" s="1">
        <v>3</v>
      </c>
      <c r="F181" s="1">
        <v>2</v>
      </c>
      <c r="G181" s="2">
        <v>15.2092921255213</v>
      </c>
      <c r="H181" s="1">
        <v>1</v>
      </c>
      <c r="I181" s="1">
        <v>0</v>
      </c>
      <c r="J181" s="1">
        <v>3</v>
      </c>
      <c r="K181" s="1">
        <v>1</v>
      </c>
      <c r="L181" s="1">
        <v>0</v>
      </c>
      <c r="M181" s="1">
        <v>0</v>
      </c>
      <c r="N181" s="1">
        <v>1</v>
      </c>
      <c r="O181" s="3">
        <v>3.2742334588098698</v>
      </c>
      <c r="P181" s="1">
        <v>1</v>
      </c>
      <c r="Q181" s="1" t="str">
        <f>IF(Table2[[#This Row],[GradeClass]]=4,"A",IF(Table2[[#This Row],[GradeClass]]=3,"B",IF(Table2[[#This Row],[GradeClass]]=2,"C",IF(Table2[[#This Row],[GradeClass]]=1,"D","F"))))</f>
        <v>D</v>
      </c>
    </row>
    <row r="182" spans="1:17" x14ac:dyDescent="0.3">
      <c r="A182" s="1">
        <v>1181</v>
      </c>
      <c r="B182" s="1">
        <v>15</v>
      </c>
      <c r="C182" s="1">
        <v>0</v>
      </c>
      <c r="D182" s="1" t="str">
        <f>IF(Table2[[#This Row],[Gender Code]]=1,"Male","Female")</f>
        <v>Female</v>
      </c>
      <c r="E182" s="1">
        <v>0</v>
      </c>
      <c r="F182" s="1">
        <v>2</v>
      </c>
      <c r="G182" s="2">
        <v>19.698582168829802</v>
      </c>
      <c r="H182" s="1">
        <v>5</v>
      </c>
      <c r="I182" s="1">
        <v>1</v>
      </c>
      <c r="J182" s="1">
        <v>3</v>
      </c>
      <c r="K182" s="1">
        <v>0</v>
      </c>
      <c r="L182" s="1">
        <v>0</v>
      </c>
      <c r="M182" s="1">
        <v>0</v>
      </c>
      <c r="N182" s="1">
        <v>0</v>
      </c>
      <c r="O182" s="3">
        <v>3.1860603780389098</v>
      </c>
      <c r="P182" s="1">
        <v>1</v>
      </c>
      <c r="Q182" s="1" t="str">
        <f>IF(Table2[[#This Row],[GradeClass]]=4,"A",IF(Table2[[#This Row],[GradeClass]]=3,"B",IF(Table2[[#This Row],[GradeClass]]=2,"C",IF(Table2[[#This Row],[GradeClass]]=1,"D","F"))))</f>
        <v>D</v>
      </c>
    </row>
    <row r="183" spans="1:17" x14ac:dyDescent="0.3">
      <c r="A183" s="1">
        <v>1182</v>
      </c>
      <c r="B183" s="1">
        <v>17</v>
      </c>
      <c r="C183" s="1">
        <v>0</v>
      </c>
      <c r="D183" s="1" t="str">
        <f>IF(Table2[[#This Row],[Gender Code]]=1,"Male","Female")</f>
        <v>Female</v>
      </c>
      <c r="E183" s="1">
        <v>0</v>
      </c>
      <c r="F183" s="1">
        <v>1</v>
      </c>
      <c r="G183" s="2">
        <v>18.9154943401692</v>
      </c>
      <c r="H183" s="1">
        <v>20</v>
      </c>
      <c r="I183" s="1">
        <v>0</v>
      </c>
      <c r="J183" s="1">
        <v>3</v>
      </c>
      <c r="K183" s="1">
        <v>1</v>
      </c>
      <c r="L183" s="1">
        <v>0</v>
      </c>
      <c r="M183" s="1">
        <v>0</v>
      </c>
      <c r="N183" s="1">
        <v>0</v>
      </c>
      <c r="O183" s="3">
        <v>1.7221157502405799</v>
      </c>
      <c r="P183" s="1">
        <v>4</v>
      </c>
      <c r="Q183" s="1" t="str">
        <f>IF(Table2[[#This Row],[GradeClass]]=4,"A",IF(Table2[[#This Row],[GradeClass]]=3,"B",IF(Table2[[#This Row],[GradeClass]]=2,"C",IF(Table2[[#This Row],[GradeClass]]=1,"D","F"))))</f>
        <v>A</v>
      </c>
    </row>
    <row r="184" spans="1:17" x14ac:dyDescent="0.3">
      <c r="A184" s="1">
        <v>1183</v>
      </c>
      <c r="B184" s="1">
        <v>16</v>
      </c>
      <c r="C184" s="1">
        <v>0</v>
      </c>
      <c r="D184" s="1" t="str">
        <f>IF(Table2[[#This Row],[Gender Code]]=1,"Male","Female")</f>
        <v>Female</v>
      </c>
      <c r="E184" s="1">
        <v>0</v>
      </c>
      <c r="F184" s="1">
        <v>4</v>
      </c>
      <c r="G184" s="2">
        <v>3.9421207764730402</v>
      </c>
      <c r="H184" s="1">
        <v>8</v>
      </c>
      <c r="I184" s="1">
        <v>0</v>
      </c>
      <c r="J184" s="1">
        <v>2</v>
      </c>
      <c r="K184" s="1">
        <v>1</v>
      </c>
      <c r="L184" s="1">
        <v>1</v>
      </c>
      <c r="M184" s="1">
        <v>0</v>
      </c>
      <c r="N184" s="1">
        <v>0</v>
      </c>
      <c r="O184" s="3">
        <v>2.3380463575903701</v>
      </c>
      <c r="P184" s="1">
        <v>3</v>
      </c>
      <c r="Q184" s="1" t="str">
        <f>IF(Table2[[#This Row],[GradeClass]]=4,"A",IF(Table2[[#This Row],[GradeClass]]=3,"B",IF(Table2[[#This Row],[GradeClass]]=2,"C",IF(Table2[[#This Row],[GradeClass]]=1,"D","F"))))</f>
        <v>B</v>
      </c>
    </row>
    <row r="185" spans="1:17" x14ac:dyDescent="0.3">
      <c r="A185" s="1">
        <v>1184</v>
      </c>
      <c r="B185" s="1">
        <v>17</v>
      </c>
      <c r="C185" s="1">
        <v>1</v>
      </c>
      <c r="D185" s="1" t="str">
        <f>IF(Table2[[#This Row],[Gender Code]]=1,"Male","Female")</f>
        <v>Male</v>
      </c>
      <c r="E185" s="1">
        <v>1</v>
      </c>
      <c r="F185" s="1">
        <v>2</v>
      </c>
      <c r="G185" s="2">
        <v>17.5072647980152</v>
      </c>
      <c r="H185" s="1">
        <v>9</v>
      </c>
      <c r="I185" s="1">
        <v>1</v>
      </c>
      <c r="J185" s="1">
        <v>4</v>
      </c>
      <c r="K185" s="1">
        <v>1</v>
      </c>
      <c r="L185" s="1">
        <v>1</v>
      </c>
      <c r="M185" s="1">
        <v>0</v>
      </c>
      <c r="N185" s="1">
        <v>0</v>
      </c>
      <c r="O185" s="3">
        <v>3.2739987484343298</v>
      </c>
      <c r="P185" s="1">
        <v>1</v>
      </c>
      <c r="Q185" s="1" t="str">
        <f>IF(Table2[[#This Row],[GradeClass]]=4,"A",IF(Table2[[#This Row],[GradeClass]]=3,"B",IF(Table2[[#This Row],[GradeClass]]=2,"C",IF(Table2[[#This Row],[GradeClass]]=1,"D","F"))))</f>
        <v>D</v>
      </c>
    </row>
    <row r="186" spans="1:17" x14ac:dyDescent="0.3">
      <c r="A186" s="1">
        <v>1185</v>
      </c>
      <c r="B186" s="1">
        <v>15</v>
      </c>
      <c r="C186" s="1">
        <v>0</v>
      </c>
      <c r="D186" s="1" t="str">
        <f>IF(Table2[[#This Row],[Gender Code]]=1,"Male","Female")</f>
        <v>Female</v>
      </c>
      <c r="E186" s="1">
        <v>3</v>
      </c>
      <c r="F186" s="1">
        <v>4</v>
      </c>
      <c r="G186" s="2">
        <v>14.089872728233599</v>
      </c>
      <c r="H186" s="1">
        <v>3</v>
      </c>
      <c r="I186" s="1">
        <v>0</v>
      </c>
      <c r="J186" s="1">
        <v>3</v>
      </c>
      <c r="K186" s="1">
        <v>0</v>
      </c>
      <c r="L186" s="1">
        <v>0</v>
      </c>
      <c r="M186" s="1">
        <v>0</v>
      </c>
      <c r="N186" s="1">
        <v>0</v>
      </c>
      <c r="O186" s="3">
        <v>2.9935023912052698</v>
      </c>
      <c r="P186" s="1">
        <v>2</v>
      </c>
      <c r="Q186" s="1" t="str">
        <f>IF(Table2[[#This Row],[GradeClass]]=4,"A",IF(Table2[[#This Row],[GradeClass]]=3,"B",IF(Table2[[#This Row],[GradeClass]]=2,"C",IF(Table2[[#This Row],[GradeClass]]=1,"D","F"))))</f>
        <v>C</v>
      </c>
    </row>
    <row r="187" spans="1:17" x14ac:dyDescent="0.3">
      <c r="A187" s="1">
        <v>1186</v>
      </c>
      <c r="B187" s="1">
        <v>15</v>
      </c>
      <c r="C187" s="1">
        <v>0</v>
      </c>
      <c r="D187" s="1" t="str">
        <f>IF(Table2[[#This Row],[Gender Code]]=1,"Male","Female")</f>
        <v>Female</v>
      </c>
      <c r="E187" s="1">
        <v>1</v>
      </c>
      <c r="F187" s="1">
        <v>2</v>
      </c>
      <c r="G187" s="2">
        <v>9.0769312761382306</v>
      </c>
      <c r="H187" s="1">
        <v>26</v>
      </c>
      <c r="I187" s="1">
        <v>1</v>
      </c>
      <c r="J187" s="1">
        <v>3</v>
      </c>
      <c r="K187" s="1">
        <v>1</v>
      </c>
      <c r="L187" s="1">
        <v>0</v>
      </c>
      <c r="M187" s="1">
        <v>0</v>
      </c>
      <c r="N187" s="1">
        <v>0</v>
      </c>
      <c r="O187" s="3">
        <v>0.89639789902339495</v>
      </c>
      <c r="P187" s="1">
        <v>4</v>
      </c>
      <c r="Q187" s="1" t="str">
        <f>IF(Table2[[#This Row],[GradeClass]]=4,"A",IF(Table2[[#This Row],[GradeClass]]=3,"B",IF(Table2[[#This Row],[GradeClass]]=2,"C",IF(Table2[[#This Row],[GradeClass]]=1,"D","F"))))</f>
        <v>A</v>
      </c>
    </row>
    <row r="188" spans="1:17" x14ac:dyDescent="0.3">
      <c r="A188" s="1">
        <v>1187</v>
      </c>
      <c r="B188" s="1">
        <v>16</v>
      </c>
      <c r="C188" s="1">
        <v>1</v>
      </c>
      <c r="D188" s="1" t="str">
        <f>IF(Table2[[#This Row],[Gender Code]]=1,"Male","Female")</f>
        <v>Male</v>
      </c>
      <c r="E188" s="1">
        <v>0</v>
      </c>
      <c r="F188" s="1">
        <v>2</v>
      </c>
      <c r="G188" s="2">
        <v>10.8122198864945</v>
      </c>
      <c r="H188" s="1">
        <v>2</v>
      </c>
      <c r="I188" s="1">
        <v>0</v>
      </c>
      <c r="J188" s="1">
        <v>3</v>
      </c>
      <c r="K188" s="1">
        <v>0</v>
      </c>
      <c r="L188" s="1">
        <v>0</v>
      </c>
      <c r="M188" s="1">
        <v>0</v>
      </c>
      <c r="N188" s="1">
        <v>0</v>
      </c>
      <c r="O188" s="3">
        <v>2.9610552588035901</v>
      </c>
      <c r="P188" s="1">
        <v>2</v>
      </c>
      <c r="Q188" s="1" t="str">
        <f>IF(Table2[[#This Row],[GradeClass]]=4,"A",IF(Table2[[#This Row],[GradeClass]]=3,"B",IF(Table2[[#This Row],[GradeClass]]=2,"C",IF(Table2[[#This Row],[GradeClass]]=1,"D","F"))))</f>
        <v>C</v>
      </c>
    </row>
    <row r="189" spans="1:17" x14ac:dyDescent="0.3">
      <c r="A189" s="1">
        <v>1188</v>
      </c>
      <c r="B189" s="1">
        <v>17</v>
      </c>
      <c r="C189" s="1">
        <v>1</v>
      </c>
      <c r="D189" s="1" t="str">
        <f>IF(Table2[[#This Row],[Gender Code]]=1,"Male","Female")</f>
        <v>Male</v>
      </c>
      <c r="E189" s="1">
        <v>1</v>
      </c>
      <c r="F189" s="1">
        <v>3</v>
      </c>
      <c r="G189" s="2">
        <v>16.992003499649101</v>
      </c>
      <c r="H189" s="1">
        <v>8</v>
      </c>
      <c r="I189" s="1">
        <v>0</v>
      </c>
      <c r="J189" s="1">
        <v>1</v>
      </c>
      <c r="K189" s="1">
        <v>1</v>
      </c>
      <c r="L189" s="1">
        <v>0</v>
      </c>
      <c r="M189" s="1">
        <v>0</v>
      </c>
      <c r="N189" s="1">
        <v>0</v>
      </c>
      <c r="O189" s="3">
        <v>2.6743510954520899</v>
      </c>
      <c r="P189" s="1">
        <v>2</v>
      </c>
      <c r="Q189" s="1" t="str">
        <f>IF(Table2[[#This Row],[GradeClass]]=4,"A",IF(Table2[[#This Row],[GradeClass]]=3,"B",IF(Table2[[#This Row],[GradeClass]]=2,"C",IF(Table2[[#This Row],[GradeClass]]=1,"D","F"))))</f>
        <v>C</v>
      </c>
    </row>
    <row r="190" spans="1:17" x14ac:dyDescent="0.3">
      <c r="A190" s="1">
        <v>1189</v>
      </c>
      <c r="B190" s="1">
        <v>17</v>
      </c>
      <c r="C190" s="1">
        <v>1</v>
      </c>
      <c r="D190" s="1" t="str">
        <f>IF(Table2[[#This Row],[Gender Code]]=1,"Male","Female")</f>
        <v>Male</v>
      </c>
      <c r="E190" s="1">
        <v>0</v>
      </c>
      <c r="F190" s="1">
        <v>2</v>
      </c>
      <c r="G190" s="2">
        <v>9.6026987927674607</v>
      </c>
      <c r="H190" s="1">
        <v>23</v>
      </c>
      <c r="I190" s="1">
        <v>0</v>
      </c>
      <c r="J190" s="1">
        <v>0</v>
      </c>
      <c r="K190" s="1">
        <v>1</v>
      </c>
      <c r="L190" s="1">
        <v>1</v>
      </c>
      <c r="M190" s="1">
        <v>0</v>
      </c>
      <c r="N190" s="1">
        <v>0</v>
      </c>
      <c r="O190" s="3">
        <v>1.21787315133336</v>
      </c>
      <c r="P190" s="1">
        <v>4</v>
      </c>
      <c r="Q190" s="1" t="str">
        <f>IF(Table2[[#This Row],[GradeClass]]=4,"A",IF(Table2[[#This Row],[GradeClass]]=3,"B",IF(Table2[[#This Row],[GradeClass]]=2,"C",IF(Table2[[#This Row],[GradeClass]]=1,"D","F"))))</f>
        <v>A</v>
      </c>
    </row>
    <row r="191" spans="1:17" x14ac:dyDescent="0.3">
      <c r="A191" s="1">
        <v>1190</v>
      </c>
      <c r="B191" s="1">
        <v>16</v>
      </c>
      <c r="C191" s="1">
        <v>0</v>
      </c>
      <c r="D191" s="1" t="str">
        <f>IF(Table2[[#This Row],[Gender Code]]=1,"Male","Female")</f>
        <v>Female</v>
      </c>
      <c r="E191" s="1">
        <v>2</v>
      </c>
      <c r="F191" s="1">
        <v>2</v>
      </c>
      <c r="G191" s="2">
        <v>7.4641473821025297</v>
      </c>
      <c r="H191" s="1">
        <v>21</v>
      </c>
      <c r="I191" s="1">
        <v>1</v>
      </c>
      <c r="J191" s="1">
        <v>3</v>
      </c>
      <c r="K191" s="1">
        <v>0</v>
      </c>
      <c r="L191" s="1">
        <v>0</v>
      </c>
      <c r="M191" s="1">
        <v>0</v>
      </c>
      <c r="N191" s="1">
        <v>0</v>
      </c>
      <c r="O191" s="3">
        <v>1.36559111032951</v>
      </c>
      <c r="P191" s="1">
        <v>4</v>
      </c>
      <c r="Q191" s="1" t="str">
        <f>IF(Table2[[#This Row],[GradeClass]]=4,"A",IF(Table2[[#This Row],[GradeClass]]=3,"B",IF(Table2[[#This Row],[GradeClass]]=2,"C",IF(Table2[[#This Row],[GradeClass]]=1,"D","F"))))</f>
        <v>A</v>
      </c>
    </row>
    <row r="192" spans="1:17" x14ac:dyDescent="0.3">
      <c r="A192" s="1">
        <v>1191</v>
      </c>
      <c r="B192" s="1">
        <v>17</v>
      </c>
      <c r="C192" s="1">
        <v>1</v>
      </c>
      <c r="D192" s="1" t="str">
        <f>IF(Table2[[#This Row],[Gender Code]]=1,"Male","Female")</f>
        <v>Male</v>
      </c>
      <c r="E192" s="1">
        <v>1</v>
      </c>
      <c r="F192" s="1">
        <v>1</v>
      </c>
      <c r="G192" s="2">
        <v>9.8649498605197099</v>
      </c>
      <c r="H192" s="1">
        <v>16</v>
      </c>
      <c r="I192" s="1">
        <v>0</v>
      </c>
      <c r="J192" s="1">
        <v>2</v>
      </c>
      <c r="K192" s="1">
        <v>0</v>
      </c>
      <c r="L192" s="1">
        <v>0</v>
      </c>
      <c r="M192" s="1">
        <v>0</v>
      </c>
      <c r="N192" s="1">
        <v>1</v>
      </c>
      <c r="O192" s="3">
        <v>1.52227484468542</v>
      </c>
      <c r="P192" s="1">
        <v>4</v>
      </c>
      <c r="Q192" s="1" t="str">
        <f>IF(Table2[[#This Row],[GradeClass]]=4,"A",IF(Table2[[#This Row],[GradeClass]]=3,"B",IF(Table2[[#This Row],[GradeClass]]=2,"C",IF(Table2[[#This Row],[GradeClass]]=1,"D","F"))))</f>
        <v>A</v>
      </c>
    </row>
    <row r="193" spans="1:17" x14ac:dyDescent="0.3">
      <c r="A193" s="1">
        <v>1192</v>
      </c>
      <c r="B193" s="1">
        <v>17</v>
      </c>
      <c r="C193" s="1">
        <v>1</v>
      </c>
      <c r="D193" s="1" t="str">
        <f>IF(Table2[[#This Row],[Gender Code]]=1,"Male","Female")</f>
        <v>Male</v>
      </c>
      <c r="E193" s="1">
        <v>0</v>
      </c>
      <c r="F193" s="1">
        <v>2</v>
      </c>
      <c r="G193" s="2">
        <v>11.582596080700901</v>
      </c>
      <c r="H193" s="1">
        <v>13</v>
      </c>
      <c r="I193" s="1">
        <v>1</v>
      </c>
      <c r="J193" s="1">
        <v>3</v>
      </c>
      <c r="K193" s="1">
        <v>0</v>
      </c>
      <c r="L193" s="1">
        <v>0</v>
      </c>
      <c r="M193" s="1">
        <v>0</v>
      </c>
      <c r="N193" s="1">
        <v>0</v>
      </c>
      <c r="O193" s="3">
        <v>2.2314023973705002</v>
      </c>
      <c r="P193" s="1">
        <v>3</v>
      </c>
      <c r="Q193" s="1" t="str">
        <f>IF(Table2[[#This Row],[GradeClass]]=4,"A",IF(Table2[[#This Row],[GradeClass]]=3,"B",IF(Table2[[#This Row],[GradeClass]]=2,"C",IF(Table2[[#This Row],[GradeClass]]=1,"D","F"))))</f>
        <v>B</v>
      </c>
    </row>
    <row r="194" spans="1:17" x14ac:dyDescent="0.3">
      <c r="A194" s="1">
        <v>1193</v>
      </c>
      <c r="B194" s="1">
        <v>15</v>
      </c>
      <c r="C194" s="1">
        <v>0</v>
      </c>
      <c r="D194" s="1" t="str">
        <f>IF(Table2[[#This Row],[Gender Code]]=1,"Male","Female")</f>
        <v>Female</v>
      </c>
      <c r="E194" s="1">
        <v>1</v>
      </c>
      <c r="F194" s="1">
        <v>1</v>
      </c>
      <c r="G194" s="2">
        <v>3.7815530755669702</v>
      </c>
      <c r="H194" s="1">
        <v>9</v>
      </c>
      <c r="I194" s="1">
        <v>0</v>
      </c>
      <c r="J194" s="1">
        <v>2</v>
      </c>
      <c r="K194" s="1">
        <v>1</v>
      </c>
      <c r="L194" s="1">
        <v>0</v>
      </c>
      <c r="M194" s="1">
        <v>0</v>
      </c>
      <c r="N194" s="1">
        <v>0</v>
      </c>
      <c r="O194" s="3">
        <v>2.1352663548900899</v>
      </c>
      <c r="P194" s="1">
        <v>3</v>
      </c>
      <c r="Q194" s="1" t="str">
        <f>IF(Table2[[#This Row],[GradeClass]]=4,"A",IF(Table2[[#This Row],[GradeClass]]=3,"B",IF(Table2[[#This Row],[GradeClass]]=2,"C",IF(Table2[[#This Row],[GradeClass]]=1,"D","F"))))</f>
        <v>B</v>
      </c>
    </row>
    <row r="195" spans="1:17" x14ac:dyDescent="0.3">
      <c r="A195" s="1">
        <v>1194</v>
      </c>
      <c r="B195" s="1">
        <v>17</v>
      </c>
      <c r="C195" s="1">
        <v>1</v>
      </c>
      <c r="D195" s="1" t="str">
        <f>IF(Table2[[#This Row],[Gender Code]]=1,"Male","Female")</f>
        <v>Male</v>
      </c>
      <c r="E195" s="1">
        <v>1</v>
      </c>
      <c r="F195" s="1">
        <v>1</v>
      </c>
      <c r="G195" s="2">
        <v>18.018154605339799</v>
      </c>
      <c r="H195" s="1">
        <v>12</v>
      </c>
      <c r="I195" s="1">
        <v>0</v>
      </c>
      <c r="J195" s="1">
        <v>2</v>
      </c>
      <c r="K195" s="1">
        <v>0</v>
      </c>
      <c r="L195" s="1">
        <v>0</v>
      </c>
      <c r="M195" s="1">
        <v>0</v>
      </c>
      <c r="N195" s="1">
        <v>0</v>
      </c>
      <c r="O195" s="3">
        <v>2.2556989149631401</v>
      </c>
      <c r="P195" s="1">
        <v>3</v>
      </c>
      <c r="Q195" s="1" t="str">
        <f>IF(Table2[[#This Row],[GradeClass]]=4,"A",IF(Table2[[#This Row],[GradeClass]]=3,"B",IF(Table2[[#This Row],[GradeClass]]=2,"C",IF(Table2[[#This Row],[GradeClass]]=1,"D","F"))))</f>
        <v>B</v>
      </c>
    </row>
    <row r="196" spans="1:17" x14ac:dyDescent="0.3">
      <c r="A196" s="1">
        <v>1195</v>
      </c>
      <c r="B196" s="1">
        <v>17</v>
      </c>
      <c r="C196" s="1">
        <v>1</v>
      </c>
      <c r="D196" s="1" t="str">
        <f>IF(Table2[[#This Row],[Gender Code]]=1,"Male","Female")</f>
        <v>Male</v>
      </c>
      <c r="E196" s="1">
        <v>0</v>
      </c>
      <c r="F196" s="1">
        <v>0</v>
      </c>
      <c r="G196" s="2">
        <v>13.4837389765922</v>
      </c>
      <c r="H196" s="1">
        <v>11</v>
      </c>
      <c r="I196" s="1">
        <v>1</v>
      </c>
      <c r="J196" s="1">
        <v>1</v>
      </c>
      <c r="K196" s="1">
        <v>1</v>
      </c>
      <c r="L196" s="1">
        <v>0</v>
      </c>
      <c r="M196" s="1">
        <v>1</v>
      </c>
      <c r="N196" s="1">
        <v>0</v>
      </c>
      <c r="O196" s="3">
        <v>2.7511457876117</v>
      </c>
      <c r="P196" s="1">
        <v>2</v>
      </c>
      <c r="Q196" s="1" t="str">
        <f>IF(Table2[[#This Row],[GradeClass]]=4,"A",IF(Table2[[#This Row],[GradeClass]]=3,"B",IF(Table2[[#This Row],[GradeClass]]=2,"C",IF(Table2[[#This Row],[GradeClass]]=1,"D","F"))))</f>
        <v>C</v>
      </c>
    </row>
    <row r="197" spans="1:17" x14ac:dyDescent="0.3">
      <c r="A197" s="1">
        <v>1196</v>
      </c>
      <c r="B197" s="1">
        <v>16</v>
      </c>
      <c r="C197" s="1">
        <v>1</v>
      </c>
      <c r="D197" s="1" t="str">
        <f>IF(Table2[[#This Row],[Gender Code]]=1,"Male","Female")</f>
        <v>Male</v>
      </c>
      <c r="E197" s="1">
        <v>1</v>
      </c>
      <c r="F197" s="1">
        <v>0</v>
      </c>
      <c r="G197" s="2">
        <v>12.6653783467497</v>
      </c>
      <c r="H197" s="1">
        <v>26</v>
      </c>
      <c r="I197" s="1">
        <v>0</v>
      </c>
      <c r="J197" s="1">
        <v>3</v>
      </c>
      <c r="K197" s="1">
        <v>1</v>
      </c>
      <c r="L197" s="1">
        <v>1</v>
      </c>
      <c r="M197" s="1">
        <v>0</v>
      </c>
      <c r="N197" s="1">
        <v>0</v>
      </c>
      <c r="O197" s="3">
        <v>0.89763415861640306</v>
      </c>
      <c r="P197" s="1">
        <v>4</v>
      </c>
      <c r="Q197" s="1" t="str">
        <f>IF(Table2[[#This Row],[GradeClass]]=4,"A",IF(Table2[[#This Row],[GradeClass]]=3,"B",IF(Table2[[#This Row],[GradeClass]]=2,"C",IF(Table2[[#This Row],[GradeClass]]=1,"D","F"))))</f>
        <v>A</v>
      </c>
    </row>
    <row r="198" spans="1:17" x14ac:dyDescent="0.3">
      <c r="A198" s="1">
        <v>1197</v>
      </c>
      <c r="B198" s="1">
        <v>16</v>
      </c>
      <c r="C198" s="1">
        <v>1</v>
      </c>
      <c r="D198" s="1" t="str">
        <f>IF(Table2[[#This Row],[Gender Code]]=1,"Male","Female")</f>
        <v>Male</v>
      </c>
      <c r="E198" s="1">
        <v>0</v>
      </c>
      <c r="F198" s="1">
        <v>4</v>
      </c>
      <c r="G198" s="2">
        <v>1.9899245236127601</v>
      </c>
      <c r="H198" s="1">
        <v>0</v>
      </c>
      <c r="I198" s="1">
        <v>0</v>
      </c>
      <c r="J198" s="1">
        <v>1</v>
      </c>
      <c r="K198" s="1">
        <v>1</v>
      </c>
      <c r="L198" s="1">
        <v>0</v>
      </c>
      <c r="M198" s="1">
        <v>0</v>
      </c>
      <c r="N198" s="1">
        <v>1</v>
      </c>
      <c r="O198" s="3">
        <v>3.1173544347854998</v>
      </c>
      <c r="P198" s="1">
        <v>1</v>
      </c>
      <c r="Q198" s="1" t="str">
        <f>IF(Table2[[#This Row],[GradeClass]]=4,"A",IF(Table2[[#This Row],[GradeClass]]=3,"B",IF(Table2[[#This Row],[GradeClass]]=2,"C",IF(Table2[[#This Row],[GradeClass]]=1,"D","F"))))</f>
        <v>D</v>
      </c>
    </row>
    <row r="199" spans="1:17" x14ac:dyDescent="0.3">
      <c r="A199" s="1">
        <v>1198</v>
      </c>
      <c r="B199" s="1">
        <v>18</v>
      </c>
      <c r="C199" s="1">
        <v>0</v>
      </c>
      <c r="D199" s="1" t="str">
        <f>IF(Table2[[#This Row],[Gender Code]]=1,"Male","Female")</f>
        <v>Female</v>
      </c>
      <c r="E199" s="1">
        <v>2</v>
      </c>
      <c r="F199" s="1">
        <v>1</v>
      </c>
      <c r="G199" s="2">
        <v>12.083478763451801</v>
      </c>
      <c r="H199" s="1">
        <v>27</v>
      </c>
      <c r="I199" s="1">
        <v>0</v>
      </c>
      <c r="J199" s="1">
        <v>3</v>
      </c>
      <c r="K199" s="1">
        <v>1</v>
      </c>
      <c r="L199" s="1">
        <v>0</v>
      </c>
      <c r="M199" s="1">
        <v>1</v>
      </c>
      <c r="N199" s="1">
        <v>0</v>
      </c>
      <c r="O199" s="3">
        <v>1.2875951312580001</v>
      </c>
      <c r="P199" s="1">
        <v>4</v>
      </c>
      <c r="Q199" s="1" t="str">
        <f>IF(Table2[[#This Row],[GradeClass]]=4,"A",IF(Table2[[#This Row],[GradeClass]]=3,"B",IF(Table2[[#This Row],[GradeClass]]=2,"C",IF(Table2[[#This Row],[GradeClass]]=1,"D","F"))))</f>
        <v>A</v>
      </c>
    </row>
    <row r="200" spans="1:17" x14ac:dyDescent="0.3">
      <c r="A200" s="1">
        <v>1199</v>
      </c>
      <c r="B200" s="1">
        <v>15</v>
      </c>
      <c r="C200" s="1">
        <v>1</v>
      </c>
      <c r="D200" s="1" t="str">
        <f>IF(Table2[[#This Row],[Gender Code]]=1,"Male","Female")</f>
        <v>Male</v>
      </c>
      <c r="E200" s="1">
        <v>2</v>
      </c>
      <c r="F200" s="1">
        <v>2</v>
      </c>
      <c r="G200" s="2">
        <v>2.41921324476984</v>
      </c>
      <c r="H200" s="1">
        <v>21</v>
      </c>
      <c r="I200" s="1">
        <v>0</v>
      </c>
      <c r="J200" s="1">
        <v>2</v>
      </c>
      <c r="K200" s="1">
        <v>0</v>
      </c>
      <c r="L200" s="1">
        <v>0</v>
      </c>
      <c r="M200" s="1">
        <v>0</v>
      </c>
      <c r="N200" s="1">
        <v>0</v>
      </c>
      <c r="O200" s="3">
        <v>0.57105309803302495</v>
      </c>
      <c r="P200" s="1">
        <v>4</v>
      </c>
      <c r="Q200" s="1" t="str">
        <f>IF(Table2[[#This Row],[GradeClass]]=4,"A",IF(Table2[[#This Row],[GradeClass]]=3,"B",IF(Table2[[#This Row],[GradeClass]]=2,"C",IF(Table2[[#This Row],[GradeClass]]=1,"D","F"))))</f>
        <v>A</v>
      </c>
    </row>
    <row r="201" spans="1:17" x14ac:dyDescent="0.3">
      <c r="A201" s="1">
        <v>1200</v>
      </c>
      <c r="B201" s="1">
        <v>17</v>
      </c>
      <c r="C201" s="1">
        <v>1</v>
      </c>
      <c r="D201" s="1" t="str">
        <f>IF(Table2[[#This Row],[Gender Code]]=1,"Male","Female")</f>
        <v>Male</v>
      </c>
      <c r="E201" s="1">
        <v>2</v>
      </c>
      <c r="F201" s="1">
        <v>3</v>
      </c>
      <c r="G201" s="2">
        <v>1.5739535039079799</v>
      </c>
      <c r="H201" s="1">
        <v>28</v>
      </c>
      <c r="I201" s="1">
        <v>0</v>
      </c>
      <c r="J201" s="1">
        <v>3</v>
      </c>
      <c r="K201" s="1">
        <v>1</v>
      </c>
      <c r="L201" s="1">
        <v>0</v>
      </c>
      <c r="M201" s="1">
        <v>0</v>
      </c>
      <c r="N201" s="1">
        <v>0</v>
      </c>
      <c r="O201" s="3">
        <v>0.58135579949497096</v>
      </c>
      <c r="P201" s="1">
        <v>4</v>
      </c>
      <c r="Q201" s="1" t="str">
        <f>IF(Table2[[#This Row],[GradeClass]]=4,"A",IF(Table2[[#This Row],[GradeClass]]=3,"B",IF(Table2[[#This Row],[GradeClass]]=2,"C",IF(Table2[[#This Row],[GradeClass]]=1,"D","F"))))</f>
        <v>A</v>
      </c>
    </row>
    <row r="202" spans="1:17" x14ac:dyDescent="0.3">
      <c r="A202" s="1">
        <v>1201</v>
      </c>
      <c r="B202" s="1">
        <v>17</v>
      </c>
      <c r="C202" s="1">
        <v>0</v>
      </c>
      <c r="D202" s="1" t="str">
        <f>IF(Table2[[#This Row],[Gender Code]]=1,"Male","Female")</f>
        <v>Female</v>
      </c>
      <c r="E202" s="1">
        <v>1</v>
      </c>
      <c r="F202" s="1">
        <v>2</v>
      </c>
      <c r="G202" s="2">
        <v>10.5462179128478</v>
      </c>
      <c r="H202" s="1">
        <v>18</v>
      </c>
      <c r="I202" s="1">
        <v>0</v>
      </c>
      <c r="J202" s="1">
        <v>1</v>
      </c>
      <c r="K202" s="1">
        <v>0</v>
      </c>
      <c r="L202" s="1">
        <v>0</v>
      </c>
      <c r="M202" s="1">
        <v>1</v>
      </c>
      <c r="N202" s="1">
        <v>0</v>
      </c>
      <c r="O202" s="3">
        <v>1.6434624040739501</v>
      </c>
      <c r="P202" s="1">
        <v>4</v>
      </c>
      <c r="Q202" s="1" t="str">
        <f>IF(Table2[[#This Row],[GradeClass]]=4,"A",IF(Table2[[#This Row],[GradeClass]]=3,"B",IF(Table2[[#This Row],[GradeClass]]=2,"C",IF(Table2[[#This Row],[GradeClass]]=1,"D","F"))))</f>
        <v>A</v>
      </c>
    </row>
    <row r="203" spans="1:17" x14ac:dyDescent="0.3">
      <c r="A203" s="1">
        <v>1202</v>
      </c>
      <c r="B203" s="1">
        <v>18</v>
      </c>
      <c r="C203" s="1">
        <v>1</v>
      </c>
      <c r="D203" s="1" t="str">
        <f>IF(Table2[[#This Row],[Gender Code]]=1,"Male","Female")</f>
        <v>Male</v>
      </c>
      <c r="E203" s="1">
        <v>1</v>
      </c>
      <c r="F203" s="1">
        <v>1</v>
      </c>
      <c r="G203" s="2">
        <v>8.0557106809298897</v>
      </c>
      <c r="H203" s="1">
        <v>18</v>
      </c>
      <c r="I203" s="1">
        <v>0</v>
      </c>
      <c r="J203" s="1">
        <v>1</v>
      </c>
      <c r="K203" s="1">
        <v>0</v>
      </c>
      <c r="L203" s="1">
        <v>0</v>
      </c>
      <c r="M203" s="1">
        <v>0</v>
      </c>
      <c r="N203" s="1">
        <v>0</v>
      </c>
      <c r="O203" s="3">
        <v>1.23484404078202</v>
      </c>
      <c r="P203" s="1">
        <v>4</v>
      </c>
      <c r="Q203" s="1" t="str">
        <f>IF(Table2[[#This Row],[GradeClass]]=4,"A",IF(Table2[[#This Row],[GradeClass]]=3,"B",IF(Table2[[#This Row],[GradeClass]]=2,"C",IF(Table2[[#This Row],[GradeClass]]=1,"D","F"))))</f>
        <v>A</v>
      </c>
    </row>
    <row r="204" spans="1:17" x14ac:dyDescent="0.3">
      <c r="A204" s="1">
        <v>1203</v>
      </c>
      <c r="B204" s="1">
        <v>17</v>
      </c>
      <c r="C204" s="1">
        <v>0</v>
      </c>
      <c r="D204" s="1" t="str">
        <f>IF(Table2[[#This Row],[Gender Code]]=1,"Male","Female")</f>
        <v>Female</v>
      </c>
      <c r="E204" s="1">
        <v>0</v>
      </c>
      <c r="F204" s="1">
        <v>2</v>
      </c>
      <c r="G204" s="2">
        <v>11.776205403124401</v>
      </c>
      <c r="H204" s="1">
        <v>5</v>
      </c>
      <c r="I204" s="1">
        <v>0</v>
      </c>
      <c r="J204" s="1">
        <v>3</v>
      </c>
      <c r="K204" s="1">
        <v>0</v>
      </c>
      <c r="L204" s="1">
        <v>1</v>
      </c>
      <c r="M204" s="1">
        <v>0</v>
      </c>
      <c r="N204" s="1">
        <v>1</v>
      </c>
      <c r="O204" s="3">
        <v>2.96809361957976</v>
      </c>
      <c r="P204" s="1">
        <v>2</v>
      </c>
      <c r="Q204" s="1" t="str">
        <f>IF(Table2[[#This Row],[GradeClass]]=4,"A",IF(Table2[[#This Row],[GradeClass]]=3,"B",IF(Table2[[#This Row],[GradeClass]]=2,"C",IF(Table2[[#This Row],[GradeClass]]=1,"D","F"))))</f>
        <v>C</v>
      </c>
    </row>
    <row r="205" spans="1:17" x14ac:dyDescent="0.3">
      <c r="A205" s="1">
        <v>1204</v>
      </c>
      <c r="B205" s="1">
        <v>15</v>
      </c>
      <c r="C205" s="1">
        <v>1</v>
      </c>
      <c r="D205" s="1" t="str">
        <f>IF(Table2[[#This Row],[Gender Code]]=1,"Male","Female")</f>
        <v>Male</v>
      </c>
      <c r="E205" s="1">
        <v>2</v>
      </c>
      <c r="F205" s="1">
        <v>2</v>
      </c>
      <c r="G205" s="2">
        <v>1.7844433611447701</v>
      </c>
      <c r="H205" s="1">
        <v>12</v>
      </c>
      <c r="I205" s="1">
        <v>0</v>
      </c>
      <c r="J205" s="1">
        <v>2</v>
      </c>
      <c r="K205" s="1">
        <v>1</v>
      </c>
      <c r="L205" s="1">
        <v>0</v>
      </c>
      <c r="M205" s="1">
        <v>0</v>
      </c>
      <c r="N205" s="1">
        <v>0</v>
      </c>
      <c r="O205" s="3">
        <v>2.0092984797223101</v>
      </c>
      <c r="P205" s="1">
        <v>3</v>
      </c>
      <c r="Q205" s="1" t="str">
        <f>IF(Table2[[#This Row],[GradeClass]]=4,"A",IF(Table2[[#This Row],[GradeClass]]=3,"B",IF(Table2[[#This Row],[GradeClass]]=2,"C",IF(Table2[[#This Row],[GradeClass]]=1,"D","F"))))</f>
        <v>B</v>
      </c>
    </row>
    <row r="206" spans="1:17" x14ac:dyDescent="0.3">
      <c r="A206" s="1">
        <v>1205</v>
      </c>
      <c r="B206" s="1">
        <v>18</v>
      </c>
      <c r="C206" s="1">
        <v>0</v>
      </c>
      <c r="D206" s="1" t="str">
        <f>IF(Table2[[#This Row],[Gender Code]]=1,"Male","Female")</f>
        <v>Female</v>
      </c>
      <c r="E206" s="1">
        <v>0</v>
      </c>
      <c r="F206" s="1">
        <v>2</v>
      </c>
      <c r="G206" s="2">
        <v>8.6196612569451592</v>
      </c>
      <c r="H206" s="1">
        <v>18</v>
      </c>
      <c r="I206" s="1">
        <v>0</v>
      </c>
      <c r="J206" s="1">
        <v>1</v>
      </c>
      <c r="K206" s="1">
        <v>1</v>
      </c>
      <c r="L206" s="1">
        <v>0</v>
      </c>
      <c r="M206" s="1">
        <v>0</v>
      </c>
      <c r="N206" s="1">
        <v>0</v>
      </c>
      <c r="O206" s="3">
        <v>1.14608603412959</v>
      </c>
      <c r="P206" s="1">
        <v>4</v>
      </c>
      <c r="Q206" s="1" t="str">
        <f>IF(Table2[[#This Row],[GradeClass]]=4,"A",IF(Table2[[#This Row],[GradeClass]]=3,"B",IF(Table2[[#This Row],[GradeClass]]=2,"C",IF(Table2[[#This Row],[GradeClass]]=1,"D","F"))))</f>
        <v>A</v>
      </c>
    </row>
    <row r="207" spans="1:17" x14ac:dyDescent="0.3">
      <c r="A207" s="1">
        <v>1206</v>
      </c>
      <c r="B207" s="1">
        <v>15</v>
      </c>
      <c r="C207" s="1">
        <v>0</v>
      </c>
      <c r="D207" s="1" t="str">
        <f>IF(Table2[[#This Row],[Gender Code]]=1,"Male","Female")</f>
        <v>Female</v>
      </c>
      <c r="E207" s="1">
        <v>0</v>
      </c>
      <c r="F207" s="1">
        <v>2</v>
      </c>
      <c r="G207" s="2">
        <v>3.4957343009031501</v>
      </c>
      <c r="H207" s="1">
        <v>12</v>
      </c>
      <c r="I207" s="1">
        <v>1</v>
      </c>
      <c r="J207" s="1">
        <v>4</v>
      </c>
      <c r="K207" s="1">
        <v>0</v>
      </c>
      <c r="L207" s="1">
        <v>0</v>
      </c>
      <c r="M207" s="1">
        <v>0</v>
      </c>
      <c r="N207" s="1">
        <v>0</v>
      </c>
      <c r="O207" s="3">
        <v>2.19236319785528</v>
      </c>
      <c r="P207" s="1">
        <v>3</v>
      </c>
      <c r="Q207" s="1" t="str">
        <f>IF(Table2[[#This Row],[GradeClass]]=4,"A",IF(Table2[[#This Row],[GradeClass]]=3,"B",IF(Table2[[#This Row],[GradeClass]]=2,"C",IF(Table2[[#This Row],[GradeClass]]=1,"D","F"))))</f>
        <v>B</v>
      </c>
    </row>
    <row r="208" spans="1:17" x14ac:dyDescent="0.3">
      <c r="A208" s="1">
        <v>1207</v>
      </c>
      <c r="B208" s="1">
        <v>18</v>
      </c>
      <c r="C208" s="1">
        <v>0</v>
      </c>
      <c r="D208" s="1" t="str">
        <f>IF(Table2[[#This Row],[Gender Code]]=1,"Male","Female")</f>
        <v>Female</v>
      </c>
      <c r="E208" s="1">
        <v>0</v>
      </c>
      <c r="F208" s="1">
        <v>4</v>
      </c>
      <c r="G208" s="2">
        <v>19.7420017184823</v>
      </c>
      <c r="H208" s="1">
        <v>26</v>
      </c>
      <c r="I208" s="1">
        <v>1</v>
      </c>
      <c r="J208" s="1">
        <v>1</v>
      </c>
      <c r="K208" s="1">
        <v>1</v>
      </c>
      <c r="L208" s="1">
        <v>0</v>
      </c>
      <c r="M208" s="1">
        <v>0</v>
      </c>
      <c r="N208" s="1">
        <v>0</v>
      </c>
      <c r="O208" s="3">
        <v>0.94573087329994998</v>
      </c>
      <c r="P208" s="1">
        <v>4</v>
      </c>
      <c r="Q208" s="1" t="str">
        <f>IF(Table2[[#This Row],[GradeClass]]=4,"A",IF(Table2[[#This Row],[GradeClass]]=3,"B",IF(Table2[[#This Row],[GradeClass]]=2,"C",IF(Table2[[#This Row],[GradeClass]]=1,"D","F"))))</f>
        <v>A</v>
      </c>
    </row>
    <row r="209" spans="1:17" x14ac:dyDescent="0.3">
      <c r="A209" s="1">
        <v>1208</v>
      </c>
      <c r="B209" s="1">
        <v>18</v>
      </c>
      <c r="C209" s="1">
        <v>0</v>
      </c>
      <c r="D209" s="1" t="str">
        <f>IF(Table2[[#This Row],[Gender Code]]=1,"Male","Female")</f>
        <v>Female</v>
      </c>
      <c r="E209" s="1">
        <v>0</v>
      </c>
      <c r="F209" s="1">
        <v>2</v>
      </c>
      <c r="G209" s="2">
        <v>11.223004248703401</v>
      </c>
      <c r="H209" s="1">
        <v>25</v>
      </c>
      <c r="I209" s="1">
        <v>0</v>
      </c>
      <c r="J209" s="1">
        <v>2</v>
      </c>
      <c r="K209" s="1">
        <v>1</v>
      </c>
      <c r="L209" s="1">
        <v>0</v>
      </c>
      <c r="M209" s="1">
        <v>0</v>
      </c>
      <c r="N209" s="1">
        <v>0</v>
      </c>
      <c r="O209" s="3">
        <v>0.56725002849029005</v>
      </c>
      <c r="P209" s="1">
        <v>4</v>
      </c>
      <c r="Q209" s="1" t="str">
        <f>IF(Table2[[#This Row],[GradeClass]]=4,"A",IF(Table2[[#This Row],[GradeClass]]=3,"B",IF(Table2[[#This Row],[GradeClass]]=2,"C",IF(Table2[[#This Row],[GradeClass]]=1,"D","F"))))</f>
        <v>A</v>
      </c>
    </row>
    <row r="210" spans="1:17" x14ac:dyDescent="0.3">
      <c r="A210" s="1">
        <v>1209</v>
      </c>
      <c r="B210" s="1">
        <v>16</v>
      </c>
      <c r="C210" s="1">
        <v>1</v>
      </c>
      <c r="D210" s="1" t="str">
        <f>IF(Table2[[#This Row],[Gender Code]]=1,"Male","Female")</f>
        <v>Male</v>
      </c>
      <c r="E210" s="1">
        <v>1</v>
      </c>
      <c r="F210" s="1">
        <v>1</v>
      </c>
      <c r="G210" s="2">
        <v>13.7487372188173</v>
      </c>
      <c r="H210" s="1">
        <v>21</v>
      </c>
      <c r="I210" s="1">
        <v>0</v>
      </c>
      <c r="J210" s="1">
        <v>1</v>
      </c>
      <c r="K210" s="1">
        <v>0</v>
      </c>
      <c r="L210" s="1">
        <v>0</v>
      </c>
      <c r="M210" s="1">
        <v>0</v>
      </c>
      <c r="N210" s="1">
        <v>0</v>
      </c>
      <c r="O210" s="3">
        <v>0.97076434709282899</v>
      </c>
      <c r="P210" s="1">
        <v>4</v>
      </c>
      <c r="Q210" s="1" t="str">
        <f>IF(Table2[[#This Row],[GradeClass]]=4,"A",IF(Table2[[#This Row],[GradeClass]]=3,"B",IF(Table2[[#This Row],[GradeClass]]=2,"C",IF(Table2[[#This Row],[GradeClass]]=1,"D","F"))))</f>
        <v>A</v>
      </c>
    </row>
    <row r="211" spans="1:17" x14ac:dyDescent="0.3">
      <c r="A211" s="1">
        <v>1210</v>
      </c>
      <c r="B211" s="1">
        <v>15</v>
      </c>
      <c r="C211" s="1">
        <v>0</v>
      </c>
      <c r="D211" s="1" t="str">
        <f>IF(Table2[[#This Row],[Gender Code]]=1,"Male","Female")</f>
        <v>Female</v>
      </c>
      <c r="E211" s="1">
        <v>0</v>
      </c>
      <c r="F211" s="1">
        <v>2</v>
      </c>
      <c r="G211" s="2">
        <v>6.5083656136521499</v>
      </c>
      <c r="H211" s="1">
        <v>20</v>
      </c>
      <c r="I211" s="1">
        <v>1</v>
      </c>
      <c r="J211" s="1">
        <v>2</v>
      </c>
      <c r="K211" s="1">
        <v>1</v>
      </c>
      <c r="L211" s="1">
        <v>0</v>
      </c>
      <c r="M211" s="1">
        <v>1</v>
      </c>
      <c r="N211" s="1">
        <v>1</v>
      </c>
      <c r="O211" s="3">
        <v>1.6560601255004599</v>
      </c>
      <c r="P211" s="1">
        <v>4</v>
      </c>
      <c r="Q211" s="1" t="str">
        <f>IF(Table2[[#This Row],[GradeClass]]=4,"A",IF(Table2[[#This Row],[GradeClass]]=3,"B",IF(Table2[[#This Row],[GradeClass]]=2,"C",IF(Table2[[#This Row],[GradeClass]]=1,"D","F"))))</f>
        <v>A</v>
      </c>
    </row>
    <row r="212" spans="1:17" x14ac:dyDescent="0.3">
      <c r="A212" s="1">
        <v>1211</v>
      </c>
      <c r="B212" s="1">
        <v>17</v>
      </c>
      <c r="C212" s="1">
        <v>1</v>
      </c>
      <c r="D212" s="1" t="str">
        <f>IF(Table2[[#This Row],[Gender Code]]=1,"Male","Female")</f>
        <v>Male</v>
      </c>
      <c r="E212" s="1">
        <v>2</v>
      </c>
      <c r="F212" s="1">
        <v>0</v>
      </c>
      <c r="G212" s="2">
        <v>1.8947782955868799</v>
      </c>
      <c r="H212" s="1">
        <v>3</v>
      </c>
      <c r="I212" s="1">
        <v>0</v>
      </c>
      <c r="J212" s="1">
        <v>2</v>
      </c>
      <c r="K212" s="1">
        <v>0</v>
      </c>
      <c r="L212" s="1">
        <v>0</v>
      </c>
      <c r="M212" s="1">
        <v>1</v>
      </c>
      <c r="N212" s="1">
        <v>0</v>
      </c>
      <c r="O212" s="3">
        <v>2.8393132491560298</v>
      </c>
      <c r="P212" s="1">
        <v>2</v>
      </c>
      <c r="Q212" s="1" t="str">
        <f>IF(Table2[[#This Row],[GradeClass]]=4,"A",IF(Table2[[#This Row],[GradeClass]]=3,"B",IF(Table2[[#This Row],[GradeClass]]=2,"C",IF(Table2[[#This Row],[GradeClass]]=1,"D","F"))))</f>
        <v>C</v>
      </c>
    </row>
    <row r="213" spans="1:17" x14ac:dyDescent="0.3">
      <c r="A213" s="1">
        <v>1212</v>
      </c>
      <c r="B213" s="1">
        <v>17</v>
      </c>
      <c r="C213" s="1">
        <v>0</v>
      </c>
      <c r="D213" s="1" t="str">
        <f>IF(Table2[[#This Row],[Gender Code]]=1,"Male","Female")</f>
        <v>Female</v>
      </c>
      <c r="E213" s="1">
        <v>0</v>
      </c>
      <c r="F213" s="1">
        <v>3</v>
      </c>
      <c r="G213" s="2">
        <v>19.517417255670701</v>
      </c>
      <c r="H213" s="1">
        <v>23</v>
      </c>
      <c r="I213" s="1">
        <v>0</v>
      </c>
      <c r="J213" s="1">
        <v>1</v>
      </c>
      <c r="K213" s="1">
        <v>0</v>
      </c>
      <c r="L213" s="1">
        <v>0</v>
      </c>
      <c r="M213" s="1">
        <v>1</v>
      </c>
      <c r="N213" s="1">
        <v>1</v>
      </c>
      <c r="O213" s="3">
        <v>0.189818059909026</v>
      </c>
      <c r="P213" s="1">
        <v>4</v>
      </c>
      <c r="Q213" s="1" t="str">
        <f>IF(Table2[[#This Row],[GradeClass]]=4,"A",IF(Table2[[#This Row],[GradeClass]]=3,"B",IF(Table2[[#This Row],[GradeClass]]=2,"C",IF(Table2[[#This Row],[GradeClass]]=1,"D","F"))))</f>
        <v>A</v>
      </c>
    </row>
    <row r="214" spans="1:17" x14ac:dyDescent="0.3">
      <c r="A214" s="1">
        <v>1213</v>
      </c>
      <c r="B214" s="1">
        <v>15</v>
      </c>
      <c r="C214" s="1">
        <v>0</v>
      </c>
      <c r="D214" s="1" t="str">
        <f>IF(Table2[[#This Row],[Gender Code]]=1,"Male","Female")</f>
        <v>Female</v>
      </c>
      <c r="E214" s="1">
        <v>0</v>
      </c>
      <c r="F214" s="1">
        <v>1</v>
      </c>
      <c r="G214" s="2">
        <v>5.7251807076636601</v>
      </c>
      <c r="H214" s="1">
        <v>1</v>
      </c>
      <c r="I214" s="1">
        <v>0</v>
      </c>
      <c r="J214" s="1">
        <v>3</v>
      </c>
      <c r="K214" s="1">
        <v>1</v>
      </c>
      <c r="L214" s="1">
        <v>0</v>
      </c>
      <c r="M214" s="1">
        <v>0</v>
      </c>
      <c r="N214" s="1">
        <v>0</v>
      </c>
      <c r="O214" s="3">
        <v>3.2582946850228698</v>
      </c>
      <c r="P214" s="1">
        <v>1</v>
      </c>
      <c r="Q214" s="1" t="str">
        <f>IF(Table2[[#This Row],[GradeClass]]=4,"A",IF(Table2[[#This Row],[GradeClass]]=3,"B",IF(Table2[[#This Row],[GradeClass]]=2,"C",IF(Table2[[#This Row],[GradeClass]]=1,"D","F"))))</f>
        <v>D</v>
      </c>
    </row>
    <row r="215" spans="1:17" x14ac:dyDescent="0.3">
      <c r="A215" s="1">
        <v>1214</v>
      </c>
      <c r="B215" s="1">
        <v>17</v>
      </c>
      <c r="C215" s="1">
        <v>0</v>
      </c>
      <c r="D215" s="1" t="str">
        <f>IF(Table2[[#This Row],[Gender Code]]=1,"Male","Female")</f>
        <v>Female</v>
      </c>
      <c r="E215" s="1">
        <v>1</v>
      </c>
      <c r="F215" s="1">
        <v>1</v>
      </c>
      <c r="G215" s="2">
        <v>8.4761637034714798</v>
      </c>
      <c r="H215" s="1">
        <v>14</v>
      </c>
      <c r="I215" s="1">
        <v>1</v>
      </c>
      <c r="J215" s="1">
        <v>2</v>
      </c>
      <c r="K215" s="1">
        <v>0</v>
      </c>
      <c r="L215" s="1">
        <v>0</v>
      </c>
      <c r="M215" s="1">
        <v>0</v>
      </c>
      <c r="N215" s="1">
        <v>0</v>
      </c>
      <c r="O215" s="3">
        <v>1.92005585265889</v>
      </c>
      <c r="P215" s="1">
        <v>4</v>
      </c>
      <c r="Q215" s="1" t="str">
        <f>IF(Table2[[#This Row],[GradeClass]]=4,"A",IF(Table2[[#This Row],[GradeClass]]=3,"B",IF(Table2[[#This Row],[GradeClass]]=2,"C",IF(Table2[[#This Row],[GradeClass]]=1,"D","F"))))</f>
        <v>A</v>
      </c>
    </row>
    <row r="216" spans="1:17" x14ac:dyDescent="0.3">
      <c r="A216" s="1">
        <v>1215</v>
      </c>
      <c r="B216" s="1">
        <v>17</v>
      </c>
      <c r="C216" s="1">
        <v>1</v>
      </c>
      <c r="D216" s="1" t="str">
        <f>IF(Table2[[#This Row],[Gender Code]]=1,"Male","Female")</f>
        <v>Male</v>
      </c>
      <c r="E216" s="1">
        <v>0</v>
      </c>
      <c r="F216" s="1">
        <v>3</v>
      </c>
      <c r="G216" s="2">
        <v>12.9972784340515</v>
      </c>
      <c r="H216" s="1">
        <v>11</v>
      </c>
      <c r="I216" s="1">
        <v>0</v>
      </c>
      <c r="J216" s="1">
        <v>3</v>
      </c>
      <c r="K216" s="1">
        <v>0</v>
      </c>
      <c r="L216" s="1">
        <v>0</v>
      </c>
      <c r="M216" s="1">
        <v>0</v>
      </c>
      <c r="N216" s="1">
        <v>0</v>
      </c>
      <c r="O216" s="3">
        <v>2.0217714943693701</v>
      </c>
      <c r="P216" s="1">
        <v>3</v>
      </c>
      <c r="Q216" s="1" t="str">
        <f>IF(Table2[[#This Row],[GradeClass]]=4,"A",IF(Table2[[#This Row],[GradeClass]]=3,"B",IF(Table2[[#This Row],[GradeClass]]=2,"C",IF(Table2[[#This Row],[GradeClass]]=1,"D","F"))))</f>
        <v>B</v>
      </c>
    </row>
    <row r="217" spans="1:17" x14ac:dyDescent="0.3">
      <c r="A217" s="1">
        <v>1216</v>
      </c>
      <c r="B217" s="1">
        <v>15</v>
      </c>
      <c r="C217" s="1">
        <v>0</v>
      </c>
      <c r="D217" s="1" t="str">
        <f>IF(Table2[[#This Row],[Gender Code]]=1,"Male","Female")</f>
        <v>Female</v>
      </c>
      <c r="E217" s="1">
        <v>0</v>
      </c>
      <c r="F217" s="1">
        <v>2</v>
      </c>
      <c r="G217" s="2">
        <v>0.493945953722225</v>
      </c>
      <c r="H217" s="1">
        <v>29</v>
      </c>
      <c r="I217" s="1">
        <v>1</v>
      </c>
      <c r="J217" s="1">
        <v>1</v>
      </c>
      <c r="K217" s="1">
        <v>1</v>
      </c>
      <c r="L217" s="1">
        <v>0</v>
      </c>
      <c r="M217" s="1">
        <v>0</v>
      </c>
      <c r="N217" s="1">
        <v>0</v>
      </c>
      <c r="O217" s="3">
        <v>0.12593307462494899</v>
      </c>
      <c r="P217" s="1">
        <v>4</v>
      </c>
      <c r="Q217" s="1" t="str">
        <f>IF(Table2[[#This Row],[GradeClass]]=4,"A",IF(Table2[[#This Row],[GradeClass]]=3,"B",IF(Table2[[#This Row],[GradeClass]]=2,"C",IF(Table2[[#This Row],[GradeClass]]=1,"D","F"))))</f>
        <v>A</v>
      </c>
    </row>
    <row r="218" spans="1:17" x14ac:dyDescent="0.3">
      <c r="A218" s="1">
        <v>1217</v>
      </c>
      <c r="B218" s="1">
        <v>18</v>
      </c>
      <c r="C218" s="1">
        <v>1</v>
      </c>
      <c r="D218" s="1" t="str">
        <f>IF(Table2[[#This Row],[Gender Code]]=1,"Male","Female")</f>
        <v>Male</v>
      </c>
      <c r="E218" s="1">
        <v>2</v>
      </c>
      <c r="F218" s="1">
        <v>1</v>
      </c>
      <c r="G218" s="2">
        <v>16.205182610345702</v>
      </c>
      <c r="H218" s="1">
        <v>26</v>
      </c>
      <c r="I218" s="1">
        <v>1</v>
      </c>
      <c r="J218" s="1">
        <v>2</v>
      </c>
      <c r="K218" s="1">
        <v>1</v>
      </c>
      <c r="L218" s="1">
        <v>0</v>
      </c>
      <c r="M218" s="1">
        <v>0</v>
      </c>
      <c r="N218" s="1">
        <v>0</v>
      </c>
      <c r="O218" s="3">
        <v>1.2870134123902199</v>
      </c>
      <c r="P218" s="1">
        <v>4</v>
      </c>
      <c r="Q218" s="1" t="str">
        <f>IF(Table2[[#This Row],[GradeClass]]=4,"A",IF(Table2[[#This Row],[GradeClass]]=3,"B",IF(Table2[[#This Row],[GradeClass]]=2,"C",IF(Table2[[#This Row],[GradeClass]]=1,"D","F"))))</f>
        <v>A</v>
      </c>
    </row>
    <row r="219" spans="1:17" x14ac:dyDescent="0.3">
      <c r="A219" s="1">
        <v>1218</v>
      </c>
      <c r="B219" s="1">
        <v>15</v>
      </c>
      <c r="C219" s="1">
        <v>1</v>
      </c>
      <c r="D219" s="1" t="str">
        <f>IF(Table2[[#This Row],[Gender Code]]=1,"Male","Female")</f>
        <v>Male</v>
      </c>
      <c r="E219" s="1">
        <v>0</v>
      </c>
      <c r="F219" s="1">
        <v>2</v>
      </c>
      <c r="G219" s="2">
        <v>10.731563800572401</v>
      </c>
      <c r="H219" s="1">
        <v>6</v>
      </c>
      <c r="I219" s="1">
        <v>0</v>
      </c>
      <c r="J219" s="1">
        <v>0</v>
      </c>
      <c r="K219" s="1">
        <v>1</v>
      </c>
      <c r="L219" s="1">
        <v>0</v>
      </c>
      <c r="M219" s="1">
        <v>1</v>
      </c>
      <c r="N219" s="1">
        <v>0</v>
      </c>
      <c r="O219" s="3">
        <v>2.5914267032293101</v>
      </c>
      <c r="P219" s="1">
        <v>2</v>
      </c>
      <c r="Q219" s="1" t="str">
        <f>IF(Table2[[#This Row],[GradeClass]]=4,"A",IF(Table2[[#This Row],[GradeClass]]=3,"B",IF(Table2[[#This Row],[GradeClass]]=2,"C",IF(Table2[[#This Row],[GradeClass]]=1,"D","F"))))</f>
        <v>C</v>
      </c>
    </row>
    <row r="220" spans="1:17" x14ac:dyDescent="0.3">
      <c r="A220" s="1">
        <v>1219</v>
      </c>
      <c r="B220" s="1">
        <v>18</v>
      </c>
      <c r="C220" s="1">
        <v>1</v>
      </c>
      <c r="D220" s="1" t="str">
        <f>IF(Table2[[#This Row],[Gender Code]]=1,"Male","Female")</f>
        <v>Male</v>
      </c>
      <c r="E220" s="1">
        <v>2</v>
      </c>
      <c r="F220" s="1">
        <v>3</v>
      </c>
      <c r="G220" s="2">
        <v>5.5643437413764403</v>
      </c>
      <c r="H220" s="1">
        <v>19</v>
      </c>
      <c r="I220" s="1">
        <v>1</v>
      </c>
      <c r="J220" s="1">
        <v>3</v>
      </c>
      <c r="K220" s="1">
        <v>0</v>
      </c>
      <c r="L220" s="1">
        <v>0</v>
      </c>
      <c r="M220" s="1">
        <v>0</v>
      </c>
      <c r="N220" s="1">
        <v>0</v>
      </c>
      <c r="O220" s="3">
        <v>1.4633796485355901</v>
      </c>
      <c r="P220" s="1">
        <v>4</v>
      </c>
      <c r="Q220" s="1" t="str">
        <f>IF(Table2[[#This Row],[GradeClass]]=4,"A",IF(Table2[[#This Row],[GradeClass]]=3,"B",IF(Table2[[#This Row],[GradeClass]]=2,"C",IF(Table2[[#This Row],[GradeClass]]=1,"D","F"))))</f>
        <v>A</v>
      </c>
    </row>
    <row r="221" spans="1:17" x14ac:dyDescent="0.3">
      <c r="A221" s="1">
        <v>1220</v>
      </c>
      <c r="B221" s="1">
        <v>17</v>
      </c>
      <c r="C221" s="1">
        <v>1</v>
      </c>
      <c r="D221" s="1" t="str">
        <f>IF(Table2[[#This Row],[Gender Code]]=1,"Male","Female")</f>
        <v>Male</v>
      </c>
      <c r="E221" s="1">
        <v>0</v>
      </c>
      <c r="F221" s="1">
        <v>1</v>
      </c>
      <c r="G221" s="2">
        <v>1.2321597058493801</v>
      </c>
      <c r="H221" s="1">
        <v>17</v>
      </c>
      <c r="I221" s="1">
        <v>0</v>
      </c>
      <c r="J221" s="1">
        <v>3</v>
      </c>
      <c r="K221" s="1">
        <v>0</v>
      </c>
      <c r="L221" s="1">
        <v>0</v>
      </c>
      <c r="M221" s="1">
        <v>0</v>
      </c>
      <c r="N221" s="1">
        <v>0</v>
      </c>
      <c r="O221" s="3">
        <v>1.4655493864338101</v>
      </c>
      <c r="P221" s="1">
        <v>4</v>
      </c>
      <c r="Q221" s="1" t="str">
        <f>IF(Table2[[#This Row],[GradeClass]]=4,"A",IF(Table2[[#This Row],[GradeClass]]=3,"B",IF(Table2[[#This Row],[GradeClass]]=2,"C",IF(Table2[[#This Row],[GradeClass]]=1,"D","F"))))</f>
        <v>A</v>
      </c>
    </row>
    <row r="222" spans="1:17" x14ac:dyDescent="0.3">
      <c r="A222" s="1">
        <v>1221</v>
      </c>
      <c r="B222" s="1">
        <v>17</v>
      </c>
      <c r="C222" s="1">
        <v>1</v>
      </c>
      <c r="D222" s="1" t="str">
        <f>IF(Table2[[#This Row],[Gender Code]]=1,"Male","Female")</f>
        <v>Male</v>
      </c>
      <c r="E222" s="1">
        <v>0</v>
      </c>
      <c r="F222" s="1">
        <v>3</v>
      </c>
      <c r="G222" s="2">
        <v>3.2499683094888199</v>
      </c>
      <c r="H222" s="1">
        <v>22</v>
      </c>
      <c r="I222" s="1">
        <v>0</v>
      </c>
      <c r="J222" s="1">
        <v>3</v>
      </c>
      <c r="K222" s="1">
        <v>1</v>
      </c>
      <c r="L222" s="1">
        <v>1</v>
      </c>
      <c r="M222" s="1">
        <v>0</v>
      </c>
      <c r="N222" s="1">
        <v>1</v>
      </c>
      <c r="O222" s="3">
        <v>1.71046683770953</v>
      </c>
      <c r="P222" s="1">
        <v>4</v>
      </c>
      <c r="Q222" s="1" t="str">
        <f>IF(Table2[[#This Row],[GradeClass]]=4,"A",IF(Table2[[#This Row],[GradeClass]]=3,"B",IF(Table2[[#This Row],[GradeClass]]=2,"C",IF(Table2[[#This Row],[GradeClass]]=1,"D","F"))))</f>
        <v>A</v>
      </c>
    </row>
    <row r="223" spans="1:17" x14ac:dyDescent="0.3">
      <c r="A223" s="1">
        <v>1222</v>
      </c>
      <c r="B223" s="1">
        <v>17</v>
      </c>
      <c r="C223" s="1">
        <v>1</v>
      </c>
      <c r="D223" s="1" t="str">
        <f>IF(Table2[[#This Row],[Gender Code]]=1,"Male","Female")</f>
        <v>Male</v>
      </c>
      <c r="E223" s="1">
        <v>2</v>
      </c>
      <c r="F223" s="1">
        <v>0</v>
      </c>
      <c r="G223" s="2">
        <v>17.900677177068701</v>
      </c>
      <c r="H223" s="1">
        <v>12</v>
      </c>
      <c r="I223" s="1">
        <v>0</v>
      </c>
      <c r="J223" s="1">
        <v>2</v>
      </c>
      <c r="K223" s="1">
        <v>0</v>
      </c>
      <c r="L223" s="1">
        <v>1</v>
      </c>
      <c r="M223" s="1">
        <v>0</v>
      </c>
      <c r="N223" s="1">
        <v>1</v>
      </c>
      <c r="O223" s="3">
        <v>2.2885056852522299</v>
      </c>
      <c r="P223" s="1">
        <v>3</v>
      </c>
      <c r="Q223" s="1" t="str">
        <f>IF(Table2[[#This Row],[GradeClass]]=4,"A",IF(Table2[[#This Row],[GradeClass]]=3,"B",IF(Table2[[#This Row],[GradeClass]]=2,"C",IF(Table2[[#This Row],[GradeClass]]=1,"D","F"))))</f>
        <v>B</v>
      </c>
    </row>
    <row r="224" spans="1:17" x14ac:dyDescent="0.3">
      <c r="A224" s="1">
        <v>1223</v>
      </c>
      <c r="B224" s="1">
        <v>16</v>
      </c>
      <c r="C224" s="1">
        <v>1</v>
      </c>
      <c r="D224" s="1" t="str">
        <f>IF(Table2[[#This Row],[Gender Code]]=1,"Male","Female")</f>
        <v>Male</v>
      </c>
      <c r="E224" s="1">
        <v>0</v>
      </c>
      <c r="F224" s="1">
        <v>2</v>
      </c>
      <c r="G224" s="2">
        <v>13.7204844787178</v>
      </c>
      <c r="H224" s="1">
        <v>16</v>
      </c>
      <c r="I224" s="1">
        <v>0</v>
      </c>
      <c r="J224" s="1">
        <v>3</v>
      </c>
      <c r="K224" s="1">
        <v>0</v>
      </c>
      <c r="L224" s="1">
        <v>0</v>
      </c>
      <c r="M224" s="1">
        <v>1</v>
      </c>
      <c r="N224" s="1">
        <v>0</v>
      </c>
      <c r="O224" s="3">
        <v>1.96096884865323</v>
      </c>
      <c r="P224" s="1">
        <v>4</v>
      </c>
      <c r="Q224" s="1" t="str">
        <f>IF(Table2[[#This Row],[GradeClass]]=4,"A",IF(Table2[[#This Row],[GradeClass]]=3,"B",IF(Table2[[#This Row],[GradeClass]]=2,"C",IF(Table2[[#This Row],[GradeClass]]=1,"D","F"))))</f>
        <v>A</v>
      </c>
    </row>
    <row r="225" spans="1:17" x14ac:dyDescent="0.3">
      <c r="A225" s="1">
        <v>1224</v>
      </c>
      <c r="B225" s="1">
        <v>18</v>
      </c>
      <c r="C225" s="1">
        <v>1</v>
      </c>
      <c r="D225" s="1" t="str">
        <f>IF(Table2[[#This Row],[Gender Code]]=1,"Male","Female")</f>
        <v>Male</v>
      </c>
      <c r="E225" s="1">
        <v>0</v>
      </c>
      <c r="F225" s="1">
        <v>3</v>
      </c>
      <c r="G225" s="2">
        <v>4.9980344327377901</v>
      </c>
      <c r="H225" s="1">
        <v>3</v>
      </c>
      <c r="I225" s="1">
        <v>0</v>
      </c>
      <c r="J225" s="1">
        <v>3</v>
      </c>
      <c r="K225" s="1">
        <v>0</v>
      </c>
      <c r="L225" s="1">
        <v>0</v>
      </c>
      <c r="M225" s="1">
        <v>0</v>
      </c>
      <c r="N225" s="1">
        <v>0</v>
      </c>
      <c r="O225" s="3">
        <v>2.6216233262773398</v>
      </c>
      <c r="P225" s="1">
        <v>2</v>
      </c>
      <c r="Q225" s="1" t="str">
        <f>IF(Table2[[#This Row],[GradeClass]]=4,"A",IF(Table2[[#This Row],[GradeClass]]=3,"B",IF(Table2[[#This Row],[GradeClass]]=2,"C",IF(Table2[[#This Row],[GradeClass]]=1,"D","F"))))</f>
        <v>C</v>
      </c>
    </row>
    <row r="226" spans="1:17" x14ac:dyDescent="0.3">
      <c r="A226" s="1">
        <v>1225</v>
      </c>
      <c r="B226" s="1">
        <v>16</v>
      </c>
      <c r="C226" s="1">
        <v>1</v>
      </c>
      <c r="D226" s="1" t="str">
        <f>IF(Table2[[#This Row],[Gender Code]]=1,"Male","Female")</f>
        <v>Male</v>
      </c>
      <c r="E226" s="1">
        <v>0</v>
      </c>
      <c r="F226" s="1">
        <v>1</v>
      </c>
      <c r="G226" s="2">
        <v>1.31201529890059</v>
      </c>
      <c r="H226" s="1">
        <v>24</v>
      </c>
      <c r="I226" s="1">
        <v>0</v>
      </c>
      <c r="J226" s="1">
        <v>0</v>
      </c>
      <c r="K226" s="1">
        <v>1</v>
      </c>
      <c r="L226" s="1">
        <v>0</v>
      </c>
      <c r="M226" s="1">
        <v>0</v>
      </c>
      <c r="N226" s="1">
        <v>0</v>
      </c>
      <c r="O226" s="3">
        <v>0.76831638598366703</v>
      </c>
      <c r="P226" s="1">
        <v>4</v>
      </c>
      <c r="Q226" s="1" t="str">
        <f>IF(Table2[[#This Row],[GradeClass]]=4,"A",IF(Table2[[#This Row],[GradeClass]]=3,"B",IF(Table2[[#This Row],[GradeClass]]=2,"C",IF(Table2[[#This Row],[GradeClass]]=1,"D","F"))))</f>
        <v>A</v>
      </c>
    </row>
    <row r="227" spans="1:17" x14ac:dyDescent="0.3">
      <c r="A227" s="1">
        <v>1226</v>
      </c>
      <c r="B227" s="1">
        <v>16</v>
      </c>
      <c r="C227" s="1">
        <v>0</v>
      </c>
      <c r="D227" s="1" t="str">
        <f>IF(Table2[[#This Row],[Gender Code]]=1,"Male","Female")</f>
        <v>Female</v>
      </c>
      <c r="E227" s="1">
        <v>0</v>
      </c>
      <c r="F227" s="1">
        <v>2</v>
      </c>
      <c r="G227" s="2">
        <v>13.8123062477327</v>
      </c>
      <c r="H227" s="1">
        <v>13</v>
      </c>
      <c r="I227" s="1">
        <v>0</v>
      </c>
      <c r="J227" s="1">
        <v>1</v>
      </c>
      <c r="K227" s="1">
        <v>0</v>
      </c>
      <c r="L227" s="1">
        <v>0</v>
      </c>
      <c r="M227" s="1">
        <v>1</v>
      </c>
      <c r="N227" s="1">
        <v>0</v>
      </c>
      <c r="O227" s="3">
        <v>1.8064063454058099</v>
      </c>
      <c r="P227" s="1">
        <v>4</v>
      </c>
      <c r="Q227" s="1" t="str">
        <f>IF(Table2[[#This Row],[GradeClass]]=4,"A",IF(Table2[[#This Row],[GradeClass]]=3,"B",IF(Table2[[#This Row],[GradeClass]]=2,"C",IF(Table2[[#This Row],[GradeClass]]=1,"D","F"))))</f>
        <v>A</v>
      </c>
    </row>
    <row r="228" spans="1:17" x14ac:dyDescent="0.3">
      <c r="A228" s="1">
        <v>1227</v>
      </c>
      <c r="B228" s="1">
        <v>15</v>
      </c>
      <c r="C228" s="1">
        <v>0</v>
      </c>
      <c r="D228" s="1" t="str">
        <f>IF(Table2[[#This Row],[Gender Code]]=1,"Male","Female")</f>
        <v>Female</v>
      </c>
      <c r="E228" s="1">
        <v>2</v>
      </c>
      <c r="F228" s="1">
        <v>1</v>
      </c>
      <c r="G228" s="2">
        <v>11.448154519355301</v>
      </c>
      <c r="H228" s="1">
        <v>19</v>
      </c>
      <c r="I228" s="1">
        <v>0</v>
      </c>
      <c r="J228" s="1">
        <v>2</v>
      </c>
      <c r="K228" s="1">
        <v>0</v>
      </c>
      <c r="L228" s="1">
        <v>0</v>
      </c>
      <c r="M228" s="1">
        <v>0</v>
      </c>
      <c r="N228" s="1">
        <v>0</v>
      </c>
      <c r="O228" s="3">
        <v>0.88186635307776995</v>
      </c>
      <c r="P228" s="1">
        <v>4</v>
      </c>
      <c r="Q228" s="1" t="str">
        <f>IF(Table2[[#This Row],[GradeClass]]=4,"A",IF(Table2[[#This Row],[GradeClass]]=3,"B",IF(Table2[[#This Row],[GradeClass]]=2,"C",IF(Table2[[#This Row],[GradeClass]]=1,"D","F"))))</f>
        <v>A</v>
      </c>
    </row>
    <row r="229" spans="1:17" x14ac:dyDescent="0.3">
      <c r="A229" s="1">
        <v>1228</v>
      </c>
      <c r="B229" s="1">
        <v>16</v>
      </c>
      <c r="C229" s="1">
        <v>0</v>
      </c>
      <c r="D229" s="1" t="str">
        <f>IF(Table2[[#This Row],[Gender Code]]=1,"Male","Female")</f>
        <v>Female</v>
      </c>
      <c r="E229" s="1">
        <v>0</v>
      </c>
      <c r="F229" s="1">
        <v>2</v>
      </c>
      <c r="G229" s="2">
        <v>8.0903904891646992</v>
      </c>
      <c r="H229" s="1">
        <v>27</v>
      </c>
      <c r="I229" s="1">
        <v>0</v>
      </c>
      <c r="J229" s="1">
        <v>3</v>
      </c>
      <c r="K229" s="1">
        <v>0</v>
      </c>
      <c r="L229" s="1">
        <v>1</v>
      </c>
      <c r="M229" s="1">
        <v>0</v>
      </c>
      <c r="N229" s="1">
        <v>0</v>
      </c>
      <c r="O229" s="3">
        <v>0.81706822065634699</v>
      </c>
      <c r="P229" s="1">
        <v>4</v>
      </c>
      <c r="Q229" s="1" t="str">
        <f>IF(Table2[[#This Row],[GradeClass]]=4,"A",IF(Table2[[#This Row],[GradeClass]]=3,"B",IF(Table2[[#This Row],[GradeClass]]=2,"C",IF(Table2[[#This Row],[GradeClass]]=1,"D","F"))))</f>
        <v>A</v>
      </c>
    </row>
    <row r="230" spans="1:17" x14ac:dyDescent="0.3">
      <c r="A230" s="1">
        <v>1229</v>
      </c>
      <c r="B230" s="1">
        <v>15</v>
      </c>
      <c r="C230" s="1">
        <v>0</v>
      </c>
      <c r="D230" s="1" t="str">
        <f>IF(Table2[[#This Row],[Gender Code]]=1,"Male","Female")</f>
        <v>Female</v>
      </c>
      <c r="E230" s="1">
        <v>2</v>
      </c>
      <c r="F230" s="1">
        <v>2</v>
      </c>
      <c r="G230" s="2">
        <v>7.2722289838012699</v>
      </c>
      <c r="H230" s="1">
        <v>12</v>
      </c>
      <c r="I230" s="1">
        <v>1</v>
      </c>
      <c r="J230" s="1">
        <v>0</v>
      </c>
      <c r="K230" s="1">
        <v>0</v>
      </c>
      <c r="L230" s="1">
        <v>0</v>
      </c>
      <c r="M230" s="1">
        <v>0</v>
      </c>
      <c r="N230" s="1">
        <v>0</v>
      </c>
      <c r="O230" s="3">
        <v>1.4461325277019601</v>
      </c>
      <c r="P230" s="1">
        <v>4</v>
      </c>
      <c r="Q230" s="1" t="str">
        <f>IF(Table2[[#This Row],[GradeClass]]=4,"A",IF(Table2[[#This Row],[GradeClass]]=3,"B",IF(Table2[[#This Row],[GradeClass]]=2,"C",IF(Table2[[#This Row],[GradeClass]]=1,"D","F"))))</f>
        <v>A</v>
      </c>
    </row>
    <row r="231" spans="1:17" x14ac:dyDescent="0.3">
      <c r="A231" s="1">
        <v>1230</v>
      </c>
      <c r="B231" s="1">
        <v>15</v>
      </c>
      <c r="C231" s="1">
        <v>0</v>
      </c>
      <c r="D231" s="1" t="str">
        <f>IF(Table2[[#This Row],[Gender Code]]=1,"Male","Female")</f>
        <v>Female</v>
      </c>
      <c r="E231" s="1">
        <v>2</v>
      </c>
      <c r="F231" s="1">
        <v>2</v>
      </c>
      <c r="G231" s="2">
        <v>4.3362855185821596</v>
      </c>
      <c r="H231" s="1">
        <v>2</v>
      </c>
      <c r="I231" s="1">
        <v>0</v>
      </c>
      <c r="J231" s="1">
        <v>3</v>
      </c>
      <c r="K231" s="1">
        <v>0</v>
      </c>
      <c r="L231" s="1">
        <v>1</v>
      </c>
      <c r="M231" s="1">
        <v>0</v>
      </c>
      <c r="N231" s="1">
        <v>0</v>
      </c>
      <c r="O231" s="3">
        <v>3.33909436220031</v>
      </c>
      <c r="P231" s="1">
        <v>1</v>
      </c>
      <c r="Q231" s="1" t="str">
        <f>IF(Table2[[#This Row],[GradeClass]]=4,"A",IF(Table2[[#This Row],[GradeClass]]=3,"B",IF(Table2[[#This Row],[GradeClass]]=2,"C",IF(Table2[[#This Row],[GradeClass]]=1,"D","F"))))</f>
        <v>D</v>
      </c>
    </row>
    <row r="232" spans="1:17" x14ac:dyDescent="0.3">
      <c r="A232" s="1">
        <v>1231</v>
      </c>
      <c r="B232" s="1">
        <v>16</v>
      </c>
      <c r="C232" s="1">
        <v>1</v>
      </c>
      <c r="D232" s="1" t="str">
        <f>IF(Table2[[#This Row],[Gender Code]]=1,"Male","Female")</f>
        <v>Male</v>
      </c>
      <c r="E232" s="1">
        <v>0</v>
      </c>
      <c r="F232" s="1">
        <v>1</v>
      </c>
      <c r="G232" s="2">
        <v>13.392225130750299</v>
      </c>
      <c r="H232" s="1">
        <v>25</v>
      </c>
      <c r="I232" s="1">
        <v>0</v>
      </c>
      <c r="J232" s="1">
        <v>2</v>
      </c>
      <c r="K232" s="1">
        <v>0</v>
      </c>
      <c r="L232" s="1">
        <v>0</v>
      </c>
      <c r="M232" s="1">
        <v>0</v>
      </c>
      <c r="N232" s="1">
        <v>0</v>
      </c>
      <c r="O232" s="3">
        <v>0.819625477947445</v>
      </c>
      <c r="P232" s="1">
        <v>4</v>
      </c>
      <c r="Q232" s="1" t="str">
        <f>IF(Table2[[#This Row],[GradeClass]]=4,"A",IF(Table2[[#This Row],[GradeClass]]=3,"B",IF(Table2[[#This Row],[GradeClass]]=2,"C",IF(Table2[[#This Row],[GradeClass]]=1,"D","F"))))</f>
        <v>A</v>
      </c>
    </row>
    <row r="233" spans="1:17" x14ac:dyDescent="0.3">
      <c r="A233" s="1">
        <v>1232</v>
      </c>
      <c r="B233" s="1">
        <v>18</v>
      </c>
      <c r="C233" s="1">
        <v>1</v>
      </c>
      <c r="D233" s="1" t="str">
        <f>IF(Table2[[#This Row],[Gender Code]]=1,"Male","Female")</f>
        <v>Male</v>
      </c>
      <c r="E233" s="1">
        <v>3</v>
      </c>
      <c r="F233" s="1">
        <v>1</v>
      </c>
      <c r="G233" s="2">
        <v>19.4133605558774</v>
      </c>
      <c r="H233" s="1">
        <v>25</v>
      </c>
      <c r="I233" s="1">
        <v>0</v>
      </c>
      <c r="J233" s="1">
        <v>2</v>
      </c>
      <c r="K233" s="1">
        <v>0</v>
      </c>
      <c r="L233" s="1">
        <v>0</v>
      </c>
      <c r="M233" s="1">
        <v>0</v>
      </c>
      <c r="N233" s="1">
        <v>0</v>
      </c>
      <c r="O233" s="3">
        <v>0.676817973111282</v>
      </c>
      <c r="P233" s="1">
        <v>4</v>
      </c>
      <c r="Q233" s="1" t="str">
        <f>IF(Table2[[#This Row],[GradeClass]]=4,"A",IF(Table2[[#This Row],[GradeClass]]=3,"B",IF(Table2[[#This Row],[GradeClass]]=2,"C",IF(Table2[[#This Row],[GradeClass]]=1,"D","F"))))</f>
        <v>A</v>
      </c>
    </row>
    <row r="234" spans="1:17" x14ac:dyDescent="0.3">
      <c r="A234" s="1">
        <v>1233</v>
      </c>
      <c r="B234" s="1">
        <v>18</v>
      </c>
      <c r="C234" s="1">
        <v>1</v>
      </c>
      <c r="D234" s="1" t="str">
        <f>IF(Table2[[#This Row],[Gender Code]]=1,"Male","Female")</f>
        <v>Male</v>
      </c>
      <c r="E234" s="1">
        <v>0</v>
      </c>
      <c r="F234" s="1">
        <v>0</v>
      </c>
      <c r="G234" s="2">
        <v>3.5143049167365099</v>
      </c>
      <c r="H234" s="1">
        <v>17</v>
      </c>
      <c r="I234" s="1">
        <v>0</v>
      </c>
      <c r="J234" s="1">
        <v>1</v>
      </c>
      <c r="K234" s="1">
        <v>0</v>
      </c>
      <c r="L234" s="1">
        <v>1</v>
      </c>
      <c r="M234" s="1">
        <v>0</v>
      </c>
      <c r="N234" s="1">
        <v>1</v>
      </c>
      <c r="O234" s="3">
        <v>1.3895448744649701</v>
      </c>
      <c r="P234" s="1">
        <v>4</v>
      </c>
      <c r="Q234" s="1" t="str">
        <f>IF(Table2[[#This Row],[GradeClass]]=4,"A",IF(Table2[[#This Row],[GradeClass]]=3,"B",IF(Table2[[#This Row],[GradeClass]]=2,"C",IF(Table2[[#This Row],[GradeClass]]=1,"D","F"))))</f>
        <v>A</v>
      </c>
    </row>
    <row r="235" spans="1:17" x14ac:dyDescent="0.3">
      <c r="A235" s="1">
        <v>1234</v>
      </c>
      <c r="B235" s="1">
        <v>18</v>
      </c>
      <c r="C235" s="1">
        <v>1</v>
      </c>
      <c r="D235" s="1" t="str">
        <f>IF(Table2[[#This Row],[Gender Code]]=1,"Male","Female")</f>
        <v>Male</v>
      </c>
      <c r="E235" s="1">
        <v>3</v>
      </c>
      <c r="F235" s="1">
        <v>1</v>
      </c>
      <c r="G235" s="2">
        <v>11.942332400310001</v>
      </c>
      <c r="H235" s="1">
        <v>13</v>
      </c>
      <c r="I235" s="1">
        <v>0</v>
      </c>
      <c r="J235" s="1">
        <v>2</v>
      </c>
      <c r="K235" s="1">
        <v>0</v>
      </c>
      <c r="L235" s="1">
        <v>1</v>
      </c>
      <c r="M235" s="1">
        <v>0</v>
      </c>
      <c r="N235" s="1">
        <v>1</v>
      </c>
      <c r="O235" s="3">
        <v>1.99150841402517</v>
      </c>
      <c r="P235" s="1">
        <v>4</v>
      </c>
      <c r="Q235" s="1" t="str">
        <f>IF(Table2[[#This Row],[GradeClass]]=4,"A",IF(Table2[[#This Row],[GradeClass]]=3,"B",IF(Table2[[#This Row],[GradeClass]]=2,"C",IF(Table2[[#This Row],[GradeClass]]=1,"D","F"))))</f>
        <v>A</v>
      </c>
    </row>
    <row r="236" spans="1:17" x14ac:dyDescent="0.3">
      <c r="A236" s="1">
        <v>1235</v>
      </c>
      <c r="B236" s="1">
        <v>18</v>
      </c>
      <c r="C236" s="1">
        <v>1</v>
      </c>
      <c r="D236" s="1" t="str">
        <f>IF(Table2[[#This Row],[Gender Code]]=1,"Male","Female")</f>
        <v>Male</v>
      </c>
      <c r="E236" s="1">
        <v>0</v>
      </c>
      <c r="F236" s="1">
        <v>2</v>
      </c>
      <c r="G236" s="2">
        <v>8.4837011149195192</v>
      </c>
      <c r="H236" s="1">
        <v>14</v>
      </c>
      <c r="I236" s="1">
        <v>0</v>
      </c>
      <c r="J236" s="1">
        <v>0</v>
      </c>
      <c r="K236" s="1">
        <v>0</v>
      </c>
      <c r="L236" s="1">
        <v>1</v>
      </c>
      <c r="M236" s="1">
        <v>0</v>
      </c>
      <c r="N236" s="1">
        <v>0</v>
      </c>
      <c r="O236" s="3">
        <v>1.6398675504146101</v>
      </c>
      <c r="P236" s="1">
        <v>4</v>
      </c>
      <c r="Q236" s="1" t="str">
        <f>IF(Table2[[#This Row],[GradeClass]]=4,"A",IF(Table2[[#This Row],[GradeClass]]=3,"B",IF(Table2[[#This Row],[GradeClass]]=2,"C",IF(Table2[[#This Row],[GradeClass]]=1,"D","F"))))</f>
        <v>A</v>
      </c>
    </row>
    <row r="237" spans="1:17" x14ac:dyDescent="0.3">
      <c r="A237" s="1">
        <v>1236</v>
      </c>
      <c r="B237" s="1">
        <v>18</v>
      </c>
      <c r="C237" s="1">
        <v>1</v>
      </c>
      <c r="D237" s="1" t="str">
        <f>IF(Table2[[#This Row],[Gender Code]]=1,"Male","Female")</f>
        <v>Male</v>
      </c>
      <c r="E237" s="1">
        <v>1</v>
      </c>
      <c r="F237" s="1">
        <v>3</v>
      </c>
      <c r="G237" s="2">
        <v>8.9337744348932908</v>
      </c>
      <c r="H237" s="1">
        <v>2</v>
      </c>
      <c r="I237" s="1">
        <v>0</v>
      </c>
      <c r="J237" s="1">
        <v>0</v>
      </c>
      <c r="K237" s="1">
        <v>0</v>
      </c>
      <c r="L237" s="1">
        <v>1</v>
      </c>
      <c r="M237" s="1">
        <v>0</v>
      </c>
      <c r="N237" s="1">
        <v>0</v>
      </c>
      <c r="O237" s="3">
        <v>2.5117430206054201</v>
      </c>
      <c r="P237" s="1">
        <v>2</v>
      </c>
      <c r="Q237" s="1" t="str">
        <f>IF(Table2[[#This Row],[GradeClass]]=4,"A",IF(Table2[[#This Row],[GradeClass]]=3,"B",IF(Table2[[#This Row],[GradeClass]]=2,"C",IF(Table2[[#This Row],[GradeClass]]=1,"D","F"))))</f>
        <v>C</v>
      </c>
    </row>
    <row r="238" spans="1:17" x14ac:dyDescent="0.3">
      <c r="A238" s="1">
        <v>1237</v>
      </c>
      <c r="B238" s="1">
        <v>16</v>
      </c>
      <c r="C238" s="1">
        <v>1</v>
      </c>
      <c r="D238" s="1" t="str">
        <f>IF(Table2[[#This Row],[Gender Code]]=1,"Male","Female")</f>
        <v>Male</v>
      </c>
      <c r="E238" s="1">
        <v>0</v>
      </c>
      <c r="F238" s="1">
        <v>2</v>
      </c>
      <c r="G238" s="2">
        <v>5.08294560255628</v>
      </c>
      <c r="H238" s="1">
        <v>0</v>
      </c>
      <c r="I238" s="1">
        <v>0</v>
      </c>
      <c r="J238" s="1">
        <v>3</v>
      </c>
      <c r="K238" s="1">
        <v>0</v>
      </c>
      <c r="L238" s="1">
        <v>0</v>
      </c>
      <c r="M238" s="1">
        <v>1</v>
      </c>
      <c r="N238" s="1">
        <v>0</v>
      </c>
      <c r="O238" s="3">
        <v>2.9839199495864901</v>
      </c>
      <c r="P238" s="1">
        <v>2</v>
      </c>
      <c r="Q238" s="1" t="str">
        <f>IF(Table2[[#This Row],[GradeClass]]=4,"A",IF(Table2[[#This Row],[GradeClass]]=3,"B",IF(Table2[[#This Row],[GradeClass]]=2,"C",IF(Table2[[#This Row],[GradeClass]]=1,"D","F"))))</f>
        <v>C</v>
      </c>
    </row>
    <row r="239" spans="1:17" x14ac:dyDescent="0.3">
      <c r="A239" s="1">
        <v>1238</v>
      </c>
      <c r="B239" s="1">
        <v>16</v>
      </c>
      <c r="C239" s="1">
        <v>0</v>
      </c>
      <c r="D239" s="1" t="str">
        <f>IF(Table2[[#This Row],[Gender Code]]=1,"Male","Female")</f>
        <v>Female</v>
      </c>
      <c r="E239" s="1">
        <v>0</v>
      </c>
      <c r="F239" s="1">
        <v>2</v>
      </c>
      <c r="G239" s="2">
        <v>16.502697513228298</v>
      </c>
      <c r="H239" s="1">
        <v>25</v>
      </c>
      <c r="I239" s="1">
        <v>1</v>
      </c>
      <c r="J239" s="1">
        <v>2</v>
      </c>
      <c r="K239" s="1">
        <v>0</v>
      </c>
      <c r="L239" s="1">
        <v>0</v>
      </c>
      <c r="M239" s="1">
        <v>1</v>
      </c>
      <c r="N239" s="1">
        <v>0</v>
      </c>
      <c r="O239" s="3">
        <v>1.2586548544320499</v>
      </c>
      <c r="P239" s="1">
        <v>4</v>
      </c>
      <c r="Q239" s="1" t="str">
        <f>IF(Table2[[#This Row],[GradeClass]]=4,"A",IF(Table2[[#This Row],[GradeClass]]=3,"B",IF(Table2[[#This Row],[GradeClass]]=2,"C",IF(Table2[[#This Row],[GradeClass]]=1,"D","F"))))</f>
        <v>A</v>
      </c>
    </row>
    <row r="240" spans="1:17" x14ac:dyDescent="0.3">
      <c r="A240" s="1">
        <v>1239</v>
      </c>
      <c r="B240" s="1">
        <v>17</v>
      </c>
      <c r="C240" s="1">
        <v>0</v>
      </c>
      <c r="D240" s="1" t="str">
        <f>IF(Table2[[#This Row],[Gender Code]]=1,"Male","Female")</f>
        <v>Female</v>
      </c>
      <c r="E240" s="1">
        <v>1</v>
      </c>
      <c r="F240" s="1">
        <v>4</v>
      </c>
      <c r="G240" s="2">
        <v>9.7051120829448205</v>
      </c>
      <c r="H240" s="1">
        <v>23</v>
      </c>
      <c r="I240" s="1">
        <v>1</v>
      </c>
      <c r="J240" s="1">
        <v>2</v>
      </c>
      <c r="K240" s="1">
        <v>0</v>
      </c>
      <c r="L240" s="1">
        <v>0</v>
      </c>
      <c r="M240" s="1">
        <v>0</v>
      </c>
      <c r="N240" s="1">
        <v>0</v>
      </c>
      <c r="O240" s="3">
        <v>1.4179299273727499</v>
      </c>
      <c r="P240" s="1">
        <v>4</v>
      </c>
      <c r="Q240" s="1" t="str">
        <f>IF(Table2[[#This Row],[GradeClass]]=4,"A",IF(Table2[[#This Row],[GradeClass]]=3,"B",IF(Table2[[#This Row],[GradeClass]]=2,"C",IF(Table2[[#This Row],[GradeClass]]=1,"D","F"))))</f>
        <v>A</v>
      </c>
    </row>
    <row r="241" spans="1:17" x14ac:dyDescent="0.3">
      <c r="A241" s="1">
        <v>1240</v>
      </c>
      <c r="B241" s="1">
        <v>18</v>
      </c>
      <c r="C241" s="1">
        <v>0</v>
      </c>
      <c r="D241" s="1" t="str">
        <f>IF(Table2[[#This Row],[Gender Code]]=1,"Male","Female")</f>
        <v>Female</v>
      </c>
      <c r="E241" s="1">
        <v>2</v>
      </c>
      <c r="F241" s="1">
        <v>2</v>
      </c>
      <c r="G241" s="2">
        <v>10.868117043965199</v>
      </c>
      <c r="H241" s="1">
        <v>16</v>
      </c>
      <c r="I241" s="1">
        <v>0</v>
      </c>
      <c r="J241" s="1">
        <v>1</v>
      </c>
      <c r="K241" s="1">
        <v>1</v>
      </c>
      <c r="L241" s="1">
        <v>0</v>
      </c>
      <c r="M241" s="1">
        <v>1</v>
      </c>
      <c r="N241" s="1">
        <v>0</v>
      </c>
      <c r="O241" s="3">
        <v>1.59701657238176</v>
      </c>
      <c r="P241" s="1">
        <v>4</v>
      </c>
      <c r="Q241" s="1" t="str">
        <f>IF(Table2[[#This Row],[GradeClass]]=4,"A",IF(Table2[[#This Row],[GradeClass]]=3,"B",IF(Table2[[#This Row],[GradeClass]]=2,"C",IF(Table2[[#This Row],[GradeClass]]=1,"D","F"))))</f>
        <v>A</v>
      </c>
    </row>
    <row r="242" spans="1:17" x14ac:dyDescent="0.3">
      <c r="A242" s="1">
        <v>1241</v>
      </c>
      <c r="B242" s="1">
        <v>16</v>
      </c>
      <c r="C242" s="1">
        <v>0</v>
      </c>
      <c r="D242" s="1" t="str">
        <f>IF(Table2[[#This Row],[Gender Code]]=1,"Male","Female")</f>
        <v>Female</v>
      </c>
      <c r="E242" s="1">
        <v>0</v>
      </c>
      <c r="F242" s="1">
        <v>3</v>
      </c>
      <c r="G242" s="2">
        <v>6.0952182559465102</v>
      </c>
      <c r="H242" s="1">
        <v>2</v>
      </c>
      <c r="I242" s="1">
        <v>1</v>
      </c>
      <c r="J242" s="1">
        <v>2</v>
      </c>
      <c r="K242" s="1">
        <v>0</v>
      </c>
      <c r="L242" s="1">
        <v>1</v>
      </c>
      <c r="M242" s="1">
        <v>0</v>
      </c>
      <c r="N242" s="1">
        <v>0</v>
      </c>
      <c r="O242" s="3">
        <v>3.0886998681859499</v>
      </c>
      <c r="P242" s="1">
        <v>1</v>
      </c>
      <c r="Q242" s="1" t="str">
        <f>IF(Table2[[#This Row],[GradeClass]]=4,"A",IF(Table2[[#This Row],[GradeClass]]=3,"B",IF(Table2[[#This Row],[GradeClass]]=2,"C",IF(Table2[[#This Row],[GradeClass]]=1,"D","F"))))</f>
        <v>D</v>
      </c>
    </row>
    <row r="243" spans="1:17" x14ac:dyDescent="0.3">
      <c r="A243" s="1">
        <v>1242</v>
      </c>
      <c r="B243" s="1">
        <v>17</v>
      </c>
      <c r="C243" s="1">
        <v>1</v>
      </c>
      <c r="D243" s="1" t="str">
        <f>IF(Table2[[#This Row],[Gender Code]]=1,"Male","Female")</f>
        <v>Male</v>
      </c>
      <c r="E243" s="1">
        <v>0</v>
      </c>
      <c r="F243" s="1">
        <v>2</v>
      </c>
      <c r="G243" s="2">
        <v>3.6361693133389901</v>
      </c>
      <c r="H243" s="1">
        <v>13</v>
      </c>
      <c r="I243" s="1">
        <v>0</v>
      </c>
      <c r="J243" s="1">
        <v>0</v>
      </c>
      <c r="K243" s="1">
        <v>1</v>
      </c>
      <c r="L243" s="1">
        <v>1</v>
      </c>
      <c r="M243" s="1">
        <v>0</v>
      </c>
      <c r="N243" s="1">
        <v>0</v>
      </c>
      <c r="O243" s="3">
        <v>1.6413414427787101</v>
      </c>
      <c r="P243" s="1">
        <v>4</v>
      </c>
      <c r="Q243" s="1" t="str">
        <f>IF(Table2[[#This Row],[GradeClass]]=4,"A",IF(Table2[[#This Row],[GradeClass]]=3,"B",IF(Table2[[#This Row],[GradeClass]]=2,"C",IF(Table2[[#This Row],[GradeClass]]=1,"D","F"))))</f>
        <v>A</v>
      </c>
    </row>
    <row r="244" spans="1:17" x14ac:dyDescent="0.3">
      <c r="A244" s="1">
        <v>1243</v>
      </c>
      <c r="B244" s="1">
        <v>18</v>
      </c>
      <c r="C244" s="1">
        <v>1</v>
      </c>
      <c r="D244" s="1" t="str">
        <f>IF(Table2[[#This Row],[Gender Code]]=1,"Male","Female")</f>
        <v>Male</v>
      </c>
      <c r="E244" s="1">
        <v>2</v>
      </c>
      <c r="F244" s="1">
        <v>1</v>
      </c>
      <c r="G244" s="2">
        <v>1.7182077640564</v>
      </c>
      <c r="H244" s="1">
        <v>2</v>
      </c>
      <c r="I244" s="1">
        <v>0</v>
      </c>
      <c r="J244" s="1">
        <v>2</v>
      </c>
      <c r="K244" s="1">
        <v>0</v>
      </c>
      <c r="L244" s="1">
        <v>1</v>
      </c>
      <c r="M244" s="1">
        <v>0</v>
      </c>
      <c r="N244" s="1">
        <v>0</v>
      </c>
      <c r="O244" s="3">
        <v>2.5868706562634198</v>
      </c>
      <c r="P244" s="1">
        <v>2</v>
      </c>
      <c r="Q244" s="1" t="str">
        <f>IF(Table2[[#This Row],[GradeClass]]=4,"A",IF(Table2[[#This Row],[GradeClass]]=3,"B",IF(Table2[[#This Row],[GradeClass]]=2,"C",IF(Table2[[#This Row],[GradeClass]]=1,"D","F"))))</f>
        <v>C</v>
      </c>
    </row>
    <row r="245" spans="1:17" x14ac:dyDescent="0.3">
      <c r="A245" s="1">
        <v>1244</v>
      </c>
      <c r="B245" s="1">
        <v>15</v>
      </c>
      <c r="C245" s="1">
        <v>1</v>
      </c>
      <c r="D245" s="1" t="str">
        <f>IF(Table2[[#This Row],[Gender Code]]=1,"Male","Female")</f>
        <v>Male</v>
      </c>
      <c r="E245" s="1">
        <v>1</v>
      </c>
      <c r="F245" s="1">
        <v>0</v>
      </c>
      <c r="G245" s="2">
        <v>14.2823828184983</v>
      </c>
      <c r="H245" s="1">
        <v>12</v>
      </c>
      <c r="I245" s="1">
        <v>1</v>
      </c>
      <c r="J245" s="1">
        <v>2</v>
      </c>
      <c r="K245" s="1">
        <v>0</v>
      </c>
      <c r="L245" s="1">
        <v>0</v>
      </c>
      <c r="M245" s="1">
        <v>0</v>
      </c>
      <c r="N245" s="1">
        <v>0</v>
      </c>
      <c r="O245" s="3">
        <v>2.38903264521218</v>
      </c>
      <c r="P245" s="1">
        <v>3</v>
      </c>
      <c r="Q245" s="1" t="str">
        <f>IF(Table2[[#This Row],[GradeClass]]=4,"A",IF(Table2[[#This Row],[GradeClass]]=3,"B",IF(Table2[[#This Row],[GradeClass]]=2,"C",IF(Table2[[#This Row],[GradeClass]]=1,"D","F"))))</f>
        <v>B</v>
      </c>
    </row>
    <row r="246" spans="1:17" x14ac:dyDescent="0.3">
      <c r="A246" s="1">
        <v>1245</v>
      </c>
      <c r="B246" s="1">
        <v>17</v>
      </c>
      <c r="C246" s="1">
        <v>0</v>
      </c>
      <c r="D246" s="1" t="str">
        <f>IF(Table2[[#This Row],[Gender Code]]=1,"Male","Female")</f>
        <v>Female</v>
      </c>
      <c r="E246" s="1">
        <v>3</v>
      </c>
      <c r="F246" s="1">
        <v>2</v>
      </c>
      <c r="G246" s="2">
        <v>3.9246856337571101</v>
      </c>
      <c r="H246" s="1">
        <v>14</v>
      </c>
      <c r="I246" s="1">
        <v>0</v>
      </c>
      <c r="J246" s="1">
        <v>2</v>
      </c>
      <c r="K246" s="1">
        <v>1</v>
      </c>
      <c r="L246" s="1">
        <v>0</v>
      </c>
      <c r="M246" s="1">
        <v>0</v>
      </c>
      <c r="N246" s="1">
        <v>0</v>
      </c>
      <c r="O246" s="3">
        <v>1.8981464002812201</v>
      </c>
      <c r="P246" s="1">
        <v>4</v>
      </c>
      <c r="Q246" s="1" t="str">
        <f>IF(Table2[[#This Row],[GradeClass]]=4,"A",IF(Table2[[#This Row],[GradeClass]]=3,"B",IF(Table2[[#This Row],[GradeClass]]=2,"C",IF(Table2[[#This Row],[GradeClass]]=1,"D","F"))))</f>
        <v>A</v>
      </c>
    </row>
    <row r="247" spans="1:17" x14ac:dyDescent="0.3">
      <c r="A247" s="1">
        <v>1246</v>
      </c>
      <c r="B247" s="1">
        <v>16</v>
      </c>
      <c r="C247" s="1">
        <v>1</v>
      </c>
      <c r="D247" s="1" t="str">
        <f>IF(Table2[[#This Row],[Gender Code]]=1,"Male","Female")</f>
        <v>Male</v>
      </c>
      <c r="E247" s="1">
        <v>2</v>
      </c>
      <c r="F247" s="1">
        <v>1</v>
      </c>
      <c r="G247" s="2">
        <v>13.801507083775901</v>
      </c>
      <c r="H247" s="1">
        <v>17</v>
      </c>
      <c r="I247" s="1">
        <v>0</v>
      </c>
      <c r="J247" s="1">
        <v>4</v>
      </c>
      <c r="K247" s="1">
        <v>0</v>
      </c>
      <c r="L247" s="1">
        <v>1</v>
      </c>
      <c r="M247" s="1">
        <v>0</v>
      </c>
      <c r="N247" s="1">
        <v>0</v>
      </c>
      <c r="O247" s="3">
        <v>2.1104879749817398</v>
      </c>
      <c r="P247" s="1">
        <v>3</v>
      </c>
      <c r="Q247" s="1" t="str">
        <f>IF(Table2[[#This Row],[GradeClass]]=4,"A",IF(Table2[[#This Row],[GradeClass]]=3,"B",IF(Table2[[#This Row],[GradeClass]]=2,"C",IF(Table2[[#This Row],[GradeClass]]=1,"D","F"))))</f>
        <v>B</v>
      </c>
    </row>
    <row r="248" spans="1:17" x14ac:dyDescent="0.3">
      <c r="A248" s="1">
        <v>1247</v>
      </c>
      <c r="B248" s="1">
        <v>15</v>
      </c>
      <c r="C248" s="1">
        <v>1</v>
      </c>
      <c r="D248" s="1" t="str">
        <f>IF(Table2[[#This Row],[Gender Code]]=1,"Male","Female")</f>
        <v>Male</v>
      </c>
      <c r="E248" s="1">
        <v>3</v>
      </c>
      <c r="F248" s="1">
        <v>1</v>
      </c>
      <c r="G248" s="2">
        <v>7.8075289209390704</v>
      </c>
      <c r="H248" s="1">
        <v>13</v>
      </c>
      <c r="I248" s="1">
        <v>0</v>
      </c>
      <c r="J248" s="1">
        <v>2</v>
      </c>
      <c r="K248" s="1">
        <v>0</v>
      </c>
      <c r="L248" s="1">
        <v>0</v>
      </c>
      <c r="M248" s="1">
        <v>0</v>
      </c>
      <c r="N248" s="1">
        <v>0</v>
      </c>
      <c r="O248" s="3">
        <v>1.7002735894049099</v>
      </c>
      <c r="P248" s="1">
        <v>4</v>
      </c>
      <c r="Q248" s="1" t="str">
        <f>IF(Table2[[#This Row],[GradeClass]]=4,"A",IF(Table2[[#This Row],[GradeClass]]=3,"B",IF(Table2[[#This Row],[GradeClass]]=2,"C",IF(Table2[[#This Row],[GradeClass]]=1,"D","F"))))</f>
        <v>A</v>
      </c>
    </row>
    <row r="249" spans="1:17" x14ac:dyDescent="0.3">
      <c r="A249" s="1">
        <v>1248</v>
      </c>
      <c r="B249" s="1">
        <v>15</v>
      </c>
      <c r="C249" s="1">
        <v>1</v>
      </c>
      <c r="D249" s="1" t="str">
        <f>IF(Table2[[#This Row],[Gender Code]]=1,"Male","Female")</f>
        <v>Male</v>
      </c>
      <c r="E249" s="1">
        <v>2</v>
      </c>
      <c r="F249" s="1">
        <v>2</v>
      </c>
      <c r="G249" s="2">
        <v>8.3154960197930201</v>
      </c>
      <c r="H249" s="1">
        <v>20</v>
      </c>
      <c r="I249" s="1">
        <v>0</v>
      </c>
      <c r="J249" s="1">
        <v>2</v>
      </c>
      <c r="K249" s="1">
        <v>1</v>
      </c>
      <c r="L249" s="1">
        <v>0</v>
      </c>
      <c r="M249" s="1">
        <v>0</v>
      </c>
      <c r="N249" s="1">
        <v>0</v>
      </c>
      <c r="O249" s="3">
        <v>1.0444999950877101</v>
      </c>
      <c r="P249" s="1">
        <v>4</v>
      </c>
      <c r="Q249" s="1" t="str">
        <f>IF(Table2[[#This Row],[GradeClass]]=4,"A",IF(Table2[[#This Row],[GradeClass]]=3,"B",IF(Table2[[#This Row],[GradeClass]]=2,"C",IF(Table2[[#This Row],[GradeClass]]=1,"D","F"))))</f>
        <v>A</v>
      </c>
    </row>
    <row r="250" spans="1:17" x14ac:dyDescent="0.3">
      <c r="A250" s="1">
        <v>1249</v>
      </c>
      <c r="B250" s="1">
        <v>15</v>
      </c>
      <c r="C250" s="1">
        <v>0</v>
      </c>
      <c r="D250" s="1" t="str">
        <f>IF(Table2[[#This Row],[Gender Code]]=1,"Male","Female")</f>
        <v>Female</v>
      </c>
      <c r="E250" s="1">
        <v>0</v>
      </c>
      <c r="F250" s="1">
        <v>2</v>
      </c>
      <c r="G250" s="2">
        <v>9.3835499218554297</v>
      </c>
      <c r="H250" s="1">
        <v>25</v>
      </c>
      <c r="I250" s="1">
        <v>0</v>
      </c>
      <c r="J250" s="1">
        <v>2</v>
      </c>
      <c r="K250" s="1">
        <v>0</v>
      </c>
      <c r="L250" s="1">
        <v>1</v>
      </c>
      <c r="M250" s="1">
        <v>0</v>
      </c>
      <c r="N250" s="1">
        <v>0</v>
      </c>
      <c r="O250" s="3">
        <v>1.19416613376447</v>
      </c>
      <c r="P250" s="1">
        <v>4</v>
      </c>
      <c r="Q250" s="1" t="str">
        <f>IF(Table2[[#This Row],[GradeClass]]=4,"A",IF(Table2[[#This Row],[GradeClass]]=3,"B",IF(Table2[[#This Row],[GradeClass]]=2,"C",IF(Table2[[#This Row],[GradeClass]]=1,"D","F"))))</f>
        <v>A</v>
      </c>
    </row>
    <row r="251" spans="1:17" x14ac:dyDescent="0.3">
      <c r="A251" s="1">
        <v>1250</v>
      </c>
      <c r="B251" s="1">
        <v>17</v>
      </c>
      <c r="C251" s="1">
        <v>1</v>
      </c>
      <c r="D251" s="1" t="str">
        <f>IF(Table2[[#This Row],[Gender Code]]=1,"Male","Female")</f>
        <v>Male</v>
      </c>
      <c r="E251" s="1">
        <v>0</v>
      </c>
      <c r="F251" s="1">
        <v>2</v>
      </c>
      <c r="G251" s="2">
        <v>7.3541701625508598</v>
      </c>
      <c r="H251" s="1">
        <v>2</v>
      </c>
      <c r="I251" s="1">
        <v>0</v>
      </c>
      <c r="J251" s="1">
        <v>1</v>
      </c>
      <c r="K251" s="1">
        <v>0</v>
      </c>
      <c r="L251" s="1">
        <v>0</v>
      </c>
      <c r="M251" s="1">
        <v>1</v>
      </c>
      <c r="N251" s="1">
        <v>0</v>
      </c>
      <c r="O251" s="3">
        <v>2.6491368281965499</v>
      </c>
      <c r="P251" s="1">
        <v>2</v>
      </c>
      <c r="Q251" s="1" t="str">
        <f>IF(Table2[[#This Row],[GradeClass]]=4,"A",IF(Table2[[#This Row],[GradeClass]]=3,"B",IF(Table2[[#This Row],[GradeClass]]=2,"C",IF(Table2[[#This Row],[GradeClass]]=1,"D","F"))))</f>
        <v>C</v>
      </c>
    </row>
    <row r="252" spans="1:17" x14ac:dyDescent="0.3">
      <c r="A252" s="1">
        <v>1251</v>
      </c>
      <c r="B252" s="1">
        <v>16</v>
      </c>
      <c r="C252" s="1">
        <v>0</v>
      </c>
      <c r="D252" s="1" t="str">
        <f>IF(Table2[[#This Row],[Gender Code]]=1,"Male","Female")</f>
        <v>Female</v>
      </c>
      <c r="E252" s="1">
        <v>2</v>
      </c>
      <c r="F252" s="1">
        <v>1</v>
      </c>
      <c r="G252" s="2">
        <v>2.0123995444517999</v>
      </c>
      <c r="H252" s="1">
        <v>18</v>
      </c>
      <c r="I252" s="1">
        <v>0</v>
      </c>
      <c r="J252" s="1">
        <v>3</v>
      </c>
      <c r="K252" s="1">
        <v>0</v>
      </c>
      <c r="L252" s="1">
        <v>1</v>
      </c>
      <c r="M252" s="1">
        <v>0</v>
      </c>
      <c r="N252" s="1">
        <v>0</v>
      </c>
      <c r="O252" s="3">
        <v>1.23414138892773</v>
      </c>
      <c r="P252" s="1">
        <v>4</v>
      </c>
      <c r="Q252" s="1" t="str">
        <f>IF(Table2[[#This Row],[GradeClass]]=4,"A",IF(Table2[[#This Row],[GradeClass]]=3,"B",IF(Table2[[#This Row],[GradeClass]]=2,"C",IF(Table2[[#This Row],[GradeClass]]=1,"D","F"))))</f>
        <v>A</v>
      </c>
    </row>
    <row r="253" spans="1:17" x14ac:dyDescent="0.3">
      <c r="A253" s="1">
        <v>1252</v>
      </c>
      <c r="B253" s="1">
        <v>15</v>
      </c>
      <c r="C253" s="1">
        <v>0</v>
      </c>
      <c r="D253" s="1" t="str">
        <f>IF(Table2[[#This Row],[Gender Code]]=1,"Male","Female")</f>
        <v>Female</v>
      </c>
      <c r="E253" s="1">
        <v>1</v>
      </c>
      <c r="F253" s="1">
        <v>1</v>
      </c>
      <c r="G253" s="2">
        <v>6.19263620005691</v>
      </c>
      <c r="H253" s="1">
        <v>7</v>
      </c>
      <c r="I253" s="1">
        <v>0</v>
      </c>
      <c r="J253" s="1">
        <v>2</v>
      </c>
      <c r="K253" s="1">
        <v>1</v>
      </c>
      <c r="L253" s="1">
        <v>0</v>
      </c>
      <c r="M253" s="1">
        <v>0</v>
      </c>
      <c r="N253" s="1">
        <v>0</v>
      </c>
      <c r="O253" s="3">
        <v>2.1274088659128201</v>
      </c>
      <c r="P253" s="1">
        <v>3</v>
      </c>
      <c r="Q253" s="1" t="str">
        <f>IF(Table2[[#This Row],[GradeClass]]=4,"A",IF(Table2[[#This Row],[GradeClass]]=3,"B",IF(Table2[[#This Row],[GradeClass]]=2,"C",IF(Table2[[#This Row],[GradeClass]]=1,"D","F"))))</f>
        <v>B</v>
      </c>
    </row>
    <row r="254" spans="1:17" x14ac:dyDescent="0.3">
      <c r="A254" s="1">
        <v>1253</v>
      </c>
      <c r="B254" s="1">
        <v>18</v>
      </c>
      <c r="C254" s="1">
        <v>0</v>
      </c>
      <c r="D254" s="1" t="str">
        <f>IF(Table2[[#This Row],[Gender Code]]=1,"Male","Female")</f>
        <v>Female</v>
      </c>
      <c r="E254" s="1">
        <v>0</v>
      </c>
      <c r="F254" s="1">
        <v>2</v>
      </c>
      <c r="G254" s="2">
        <v>13.2746872138787</v>
      </c>
      <c r="H254" s="1">
        <v>3</v>
      </c>
      <c r="I254" s="1">
        <v>1</v>
      </c>
      <c r="J254" s="1">
        <v>1</v>
      </c>
      <c r="K254" s="1">
        <v>1</v>
      </c>
      <c r="L254" s="1">
        <v>0</v>
      </c>
      <c r="M254" s="1">
        <v>0</v>
      </c>
      <c r="N254" s="1">
        <v>0</v>
      </c>
      <c r="O254" s="3">
        <v>2.9138876491381298</v>
      </c>
      <c r="P254" s="1">
        <v>2</v>
      </c>
      <c r="Q254" s="1" t="str">
        <f>IF(Table2[[#This Row],[GradeClass]]=4,"A",IF(Table2[[#This Row],[GradeClass]]=3,"B",IF(Table2[[#This Row],[GradeClass]]=2,"C",IF(Table2[[#This Row],[GradeClass]]=1,"D","F"))))</f>
        <v>C</v>
      </c>
    </row>
    <row r="255" spans="1:17" x14ac:dyDescent="0.3">
      <c r="A255" s="1">
        <v>1254</v>
      </c>
      <c r="B255" s="1">
        <v>15</v>
      </c>
      <c r="C255" s="1">
        <v>0</v>
      </c>
      <c r="D255" s="1" t="str">
        <f>IF(Table2[[#This Row],[Gender Code]]=1,"Male","Female")</f>
        <v>Female</v>
      </c>
      <c r="E255" s="1">
        <v>0</v>
      </c>
      <c r="F255" s="1">
        <v>4</v>
      </c>
      <c r="G255" s="2">
        <v>13.3156880293774</v>
      </c>
      <c r="H255" s="1">
        <v>3</v>
      </c>
      <c r="I255" s="1">
        <v>0</v>
      </c>
      <c r="J255" s="1">
        <v>3</v>
      </c>
      <c r="K255" s="1">
        <v>0</v>
      </c>
      <c r="L255" s="1">
        <v>0</v>
      </c>
      <c r="M255" s="1">
        <v>0</v>
      </c>
      <c r="N255" s="1">
        <v>1</v>
      </c>
      <c r="O255" s="3">
        <v>3.1193939131503701</v>
      </c>
      <c r="P255" s="1">
        <v>1</v>
      </c>
      <c r="Q255" s="1" t="str">
        <f>IF(Table2[[#This Row],[GradeClass]]=4,"A",IF(Table2[[#This Row],[GradeClass]]=3,"B",IF(Table2[[#This Row],[GradeClass]]=2,"C",IF(Table2[[#This Row],[GradeClass]]=1,"D","F"))))</f>
        <v>D</v>
      </c>
    </row>
    <row r="256" spans="1:17" x14ac:dyDescent="0.3">
      <c r="A256" s="1">
        <v>1255</v>
      </c>
      <c r="B256" s="1">
        <v>15</v>
      </c>
      <c r="C256" s="1">
        <v>1</v>
      </c>
      <c r="D256" s="1" t="str">
        <f>IF(Table2[[#This Row],[Gender Code]]=1,"Male","Female")</f>
        <v>Male</v>
      </c>
      <c r="E256" s="1">
        <v>3</v>
      </c>
      <c r="F256" s="1">
        <v>2</v>
      </c>
      <c r="G256" s="2">
        <v>5.7244861447998803</v>
      </c>
      <c r="H256" s="1">
        <v>18</v>
      </c>
      <c r="I256" s="1">
        <v>1</v>
      </c>
      <c r="J256" s="1">
        <v>0</v>
      </c>
      <c r="K256" s="1">
        <v>0</v>
      </c>
      <c r="L256" s="1">
        <v>0</v>
      </c>
      <c r="M256" s="1">
        <v>0</v>
      </c>
      <c r="N256" s="1">
        <v>0</v>
      </c>
      <c r="O256" s="3">
        <v>1.0363787383257299</v>
      </c>
      <c r="P256" s="1">
        <v>4</v>
      </c>
      <c r="Q256" s="1" t="str">
        <f>IF(Table2[[#This Row],[GradeClass]]=4,"A",IF(Table2[[#This Row],[GradeClass]]=3,"B",IF(Table2[[#This Row],[GradeClass]]=2,"C",IF(Table2[[#This Row],[GradeClass]]=1,"D","F"))))</f>
        <v>A</v>
      </c>
    </row>
    <row r="257" spans="1:17" x14ac:dyDescent="0.3">
      <c r="A257" s="1">
        <v>1256</v>
      </c>
      <c r="B257" s="1">
        <v>17</v>
      </c>
      <c r="C257" s="1">
        <v>0</v>
      </c>
      <c r="D257" s="1" t="str">
        <f>IF(Table2[[#This Row],[Gender Code]]=1,"Male","Female")</f>
        <v>Female</v>
      </c>
      <c r="E257" s="1">
        <v>1</v>
      </c>
      <c r="F257" s="1">
        <v>3</v>
      </c>
      <c r="G257" s="2">
        <v>9.2020525311537593</v>
      </c>
      <c r="H257" s="1">
        <v>10</v>
      </c>
      <c r="I257" s="1">
        <v>0</v>
      </c>
      <c r="J257" s="1">
        <v>4</v>
      </c>
      <c r="K257" s="1">
        <v>1</v>
      </c>
      <c r="L257" s="1">
        <v>0</v>
      </c>
      <c r="M257" s="1">
        <v>0</v>
      </c>
      <c r="N257" s="1">
        <v>1</v>
      </c>
      <c r="O257" s="3">
        <v>2.40328454702352</v>
      </c>
      <c r="P257" s="1">
        <v>3</v>
      </c>
      <c r="Q257" s="1" t="str">
        <f>IF(Table2[[#This Row],[GradeClass]]=4,"A",IF(Table2[[#This Row],[GradeClass]]=3,"B",IF(Table2[[#This Row],[GradeClass]]=2,"C",IF(Table2[[#This Row],[GradeClass]]=1,"D","F"))))</f>
        <v>B</v>
      </c>
    </row>
    <row r="258" spans="1:17" x14ac:dyDescent="0.3">
      <c r="A258" s="1">
        <v>1257</v>
      </c>
      <c r="B258" s="1">
        <v>17</v>
      </c>
      <c r="C258" s="1">
        <v>0</v>
      </c>
      <c r="D258" s="1" t="str">
        <f>IF(Table2[[#This Row],[Gender Code]]=1,"Male","Female")</f>
        <v>Female</v>
      </c>
      <c r="E258" s="1">
        <v>0</v>
      </c>
      <c r="F258" s="1">
        <v>2</v>
      </c>
      <c r="G258" s="2">
        <v>3.8689445602387398</v>
      </c>
      <c r="H258" s="1">
        <v>0</v>
      </c>
      <c r="I258" s="1">
        <v>1</v>
      </c>
      <c r="J258" s="1">
        <v>3</v>
      </c>
      <c r="K258" s="1">
        <v>0</v>
      </c>
      <c r="L258" s="1">
        <v>0</v>
      </c>
      <c r="M258" s="1">
        <v>0</v>
      </c>
      <c r="N258" s="1">
        <v>0</v>
      </c>
      <c r="O258" s="3">
        <v>3.1565080639094401</v>
      </c>
      <c r="P258" s="1">
        <v>1</v>
      </c>
      <c r="Q258" s="1" t="str">
        <f>IF(Table2[[#This Row],[GradeClass]]=4,"A",IF(Table2[[#This Row],[GradeClass]]=3,"B",IF(Table2[[#This Row],[GradeClass]]=2,"C",IF(Table2[[#This Row],[GradeClass]]=1,"D","F"))))</f>
        <v>D</v>
      </c>
    </row>
    <row r="259" spans="1:17" x14ac:dyDescent="0.3">
      <c r="A259" s="1">
        <v>1258</v>
      </c>
      <c r="B259" s="1">
        <v>16</v>
      </c>
      <c r="C259" s="1">
        <v>1</v>
      </c>
      <c r="D259" s="1" t="str">
        <f>IF(Table2[[#This Row],[Gender Code]]=1,"Male","Female")</f>
        <v>Male</v>
      </c>
      <c r="E259" s="1">
        <v>0</v>
      </c>
      <c r="F259" s="1">
        <v>2</v>
      </c>
      <c r="G259" s="2">
        <v>4.2074416305967102</v>
      </c>
      <c r="H259" s="1">
        <v>7</v>
      </c>
      <c r="I259" s="1">
        <v>1</v>
      </c>
      <c r="J259" s="1">
        <v>2</v>
      </c>
      <c r="K259" s="1">
        <v>0</v>
      </c>
      <c r="L259" s="1">
        <v>1</v>
      </c>
      <c r="M259" s="1">
        <v>1</v>
      </c>
      <c r="N259" s="1">
        <v>0</v>
      </c>
      <c r="O259" s="3">
        <v>2.7234718587400599</v>
      </c>
      <c r="P259" s="1">
        <v>2</v>
      </c>
      <c r="Q259" s="1" t="str">
        <f>IF(Table2[[#This Row],[GradeClass]]=4,"A",IF(Table2[[#This Row],[GradeClass]]=3,"B",IF(Table2[[#This Row],[GradeClass]]=2,"C",IF(Table2[[#This Row],[GradeClass]]=1,"D","F"))))</f>
        <v>C</v>
      </c>
    </row>
    <row r="260" spans="1:17" x14ac:dyDescent="0.3">
      <c r="A260" s="1">
        <v>1259</v>
      </c>
      <c r="B260" s="1">
        <v>18</v>
      </c>
      <c r="C260" s="1">
        <v>1</v>
      </c>
      <c r="D260" s="1" t="str">
        <f>IF(Table2[[#This Row],[Gender Code]]=1,"Male","Female")</f>
        <v>Male</v>
      </c>
      <c r="E260" s="1">
        <v>0</v>
      </c>
      <c r="F260" s="1">
        <v>1</v>
      </c>
      <c r="G260" s="2">
        <v>0.46094176813214799</v>
      </c>
      <c r="H260" s="1">
        <v>14</v>
      </c>
      <c r="I260" s="1">
        <v>0</v>
      </c>
      <c r="J260" s="1">
        <v>1</v>
      </c>
      <c r="K260" s="1">
        <v>1</v>
      </c>
      <c r="L260" s="1">
        <v>1</v>
      </c>
      <c r="M260" s="1">
        <v>0</v>
      </c>
      <c r="N260" s="1">
        <v>0</v>
      </c>
      <c r="O260" s="3">
        <v>1.5309511463109</v>
      </c>
      <c r="P260" s="1">
        <v>4</v>
      </c>
      <c r="Q260" s="1" t="str">
        <f>IF(Table2[[#This Row],[GradeClass]]=4,"A",IF(Table2[[#This Row],[GradeClass]]=3,"B",IF(Table2[[#This Row],[GradeClass]]=2,"C",IF(Table2[[#This Row],[GradeClass]]=1,"D","F"))))</f>
        <v>A</v>
      </c>
    </row>
    <row r="261" spans="1:17" x14ac:dyDescent="0.3">
      <c r="A261" s="1">
        <v>1260</v>
      </c>
      <c r="B261" s="1">
        <v>17</v>
      </c>
      <c r="C261" s="1">
        <v>0</v>
      </c>
      <c r="D261" s="1" t="str">
        <f>IF(Table2[[#This Row],[Gender Code]]=1,"Male","Female")</f>
        <v>Female</v>
      </c>
      <c r="E261" s="1">
        <v>0</v>
      </c>
      <c r="F261" s="1">
        <v>2</v>
      </c>
      <c r="G261" s="2">
        <v>17.934930998154801</v>
      </c>
      <c r="H261" s="1">
        <v>0</v>
      </c>
      <c r="I261" s="1">
        <v>0</v>
      </c>
      <c r="J261" s="1">
        <v>1</v>
      </c>
      <c r="K261" s="1">
        <v>0</v>
      </c>
      <c r="L261" s="1">
        <v>0</v>
      </c>
      <c r="M261" s="1">
        <v>0</v>
      </c>
      <c r="N261" s="1">
        <v>0</v>
      </c>
      <c r="O261" s="3">
        <v>3.4685813491357198</v>
      </c>
      <c r="P261" s="1">
        <v>1</v>
      </c>
      <c r="Q261" s="1" t="str">
        <f>IF(Table2[[#This Row],[GradeClass]]=4,"A",IF(Table2[[#This Row],[GradeClass]]=3,"B",IF(Table2[[#This Row],[GradeClass]]=2,"C",IF(Table2[[#This Row],[GradeClass]]=1,"D","F"))))</f>
        <v>D</v>
      </c>
    </row>
    <row r="262" spans="1:17" x14ac:dyDescent="0.3">
      <c r="A262" s="1">
        <v>1261</v>
      </c>
      <c r="B262" s="1">
        <v>15</v>
      </c>
      <c r="C262" s="1">
        <v>1</v>
      </c>
      <c r="D262" s="1" t="str">
        <f>IF(Table2[[#This Row],[Gender Code]]=1,"Male","Female")</f>
        <v>Male</v>
      </c>
      <c r="E262" s="1">
        <v>0</v>
      </c>
      <c r="F262" s="1">
        <v>2</v>
      </c>
      <c r="G262" s="2">
        <v>4.2141333014981202</v>
      </c>
      <c r="H262" s="1">
        <v>6</v>
      </c>
      <c r="I262" s="1">
        <v>0</v>
      </c>
      <c r="J262" s="1">
        <v>1</v>
      </c>
      <c r="K262" s="1">
        <v>1</v>
      </c>
      <c r="L262" s="1">
        <v>0</v>
      </c>
      <c r="M262" s="1">
        <v>0</v>
      </c>
      <c r="N262" s="1">
        <v>0</v>
      </c>
      <c r="O262" s="3">
        <v>2.3020320443414</v>
      </c>
      <c r="P262" s="1">
        <v>3</v>
      </c>
      <c r="Q262" s="1" t="str">
        <f>IF(Table2[[#This Row],[GradeClass]]=4,"A",IF(Table2[[#This Row],[GradeClass]]=3,"B",IF(Table2[[#This Row],[GradeClass]]=2,"C",IF(Table2[[#This Row],[GradeClass]]=1,"D","F"))))</f>
        <v>B</v>
      </c>
    </row>
    <row r="263" spans="1:17" x14ac:dyDescent="0.3">
      <c r="A263" s="1">
        <v>1262</v>
      </c>
      <c r="B263" s="1">
        <v>16</v>
      </c>
      <c r="C263" s="1">
        <v>0</v>
      </c>
      <c r="D263" s="1" t="str">
        <f>IF(Table2[[#This Row],[Gender Code]]=1,"Male","Female")</f>
        <v>Female</v>
      </c>
      <c r="E263" s="1">
        <v>0</v>
      </c>
      <c r="F263" s="1">
        <v>2</v>
      </c>
      <c r="G263" s="2">
        <v>4.5506775387292597</v>
      </c>
      <c r="H263" s="1">
        <v>20</v>
      </c>
      <c r="I263" s="1">
        <v>1</v>
      </c>
      <c r="J263" s="1">
        <v>1</v>
      </c>
      <c r="K263" s="1">
        <v>1</v>
      </c>
      <c r="L263" s="1">
        <v>0</v>
      </c>
      <c r="M263" s="1">
        <v>0</v>
      </c>
      <c r="N263" s="1">
        <v>0</v>
      </c>
      <c r="O263" s="3">
        <v>1.2656779091994299</v>
      </c>
      <c r="P263" s="1">
        <v>4</v>
      </c>
      <c r="Q263" s="1" t="str">
        <f>IF(Table2[[#This Row],[GradeClass]]=4,"A",IF(Table2[[#This Row],[GradeClass]]=3,"B",IF(Table2[[#This Row],[GradeClass]]=2,"C",IF(Table2[[#This Row],[GradeClass]]=1,"D","F"))))</f>
        <v>A</v>
      </c>
    </row>
    <row r="264" spans="1:17" x14ac:dyDescent="0.3">
      <c r="A264" s="1">
        <v>1263</v>
      </c>
      <c r="B264" s="1">
        <v>15</v>
      </c>
      <c r="C264" s="1">
        <v>0</v>
      </c>
      <c r="D264" s="1" t="str">
        <f>IF(Table2[[#This Row],[Gender Code]]=1,"Male","Female")</f>
        <v>Female</v>
      </c>
      <c r="E264" s="1">
        <v>2</v>
      </c>
      <c r="F264" s="1">
        <v>2</v>
      </c>
      <c r="G264" s="2">
        <v>5.5920286529026297</v>
      </c>
      <c r="H264" s="1">
        <v>19</v>
      </c>
      <c r="I264" s="1">
        <v>0</v>
      </c>
      <c r="J264" s="1">
        <v>2</v>
      </c>
      <c r="K264" s="1">
        <v>1</v>
      </c>
      <c r="L264" s="1">
        <v>1</v>
      </c>
      <c r="M264" s="1">
        <v>0</v>
      </c>
      <c r="N264" s="1">
        <v>1</v>
      </c>
      <c r="O264" s="3">
        <v>1.4796022277390299</v>
      </c>
      <c r="P264" s="1">
        <v>4</v>
      </c>
      <c r="Q264" s="1" t="str">
        <f>IF(Table2[[#This Row],[GradeClass]]=4,"A",IF(Table2[[#This Row],[GradeClass]]=3,"B",IF(Table2[[#This Row],[GradeClass]]=2,"C",IF(Table2[[#This Row],[GradeClass]]=1,"D","F"))))</f>
        <v>A</v>
      </c>
    </row>
    <row r="265" spans="1:17" x14ac:dyDescent="0.3">
      <c r="A265" s="1">
        <v>1264</v>
      </c>
      <c r="B265" s="1">
        <v>15</v>
      </c>
      <c r="C265" s="1">
        <v>0</v>
      </c>
      <c r="D265" s="1" t="str">
        <f>IF(Table2[[#This Row],[Gender Code]]=1,"Male","Female")</f>
        <v>Female</v>
      </c>
      <c r="E265" s="1">
        <v>0</v>
      </c>
      <c r="F265" s="1">
        <v>2</v>
      </c>
      <c r="G265" s="2">
        <v>2.5481614339085801</v>
      </c>
      <c r="H265" s="1">
        <v>19</v>
      </c>
      <c r="I265" s="1">
        <v>0</v>
      </c>
      <c r="J265" s="1">
        <v>4</v>
      </c>
      <c r="K265" s="1">
        <v>0</v>
      </c>
      <c r="L265" s="1">
        <v>0</v>
      </c>
      <c r="M265" s="1">
        <v>1</v>
      </c>
      <c r="N265" s="1">
        <v>1</v>
      </c>
      <c r="O265" s="3">
        <v>1.4450767191993701</v>
      </c>
      <c r="P265" s="1">
        <v>4</v>
      </c>
      <c r="Q265" s="1" t="str">
        <f>IF(Table2[[#This Row],[GradeClass]]=4,"A",IF(Table2[[#This Row],[GradeClass]]=3,"B",IF(Table2[[#This Row],[GradeClass]]=2,"C",IF(Table2[[#This Row],[GradeClass]]=1,"D","F"))))</f>
        <v>A</v>
      </c>
    </row>
    <row r="266" spans="1:17" x14ac:dyDescent="0.3">
      <c r="A266" s="1">
        <v>1265</v>
      </c>
      <c r="B266" s="1">
        <v>17</v>
      </c>
      <c r="C266" s="1">
        <v>0</v>
      </c>
      <c r="D266" s="1" t="str">
        <f>IF(Table2[[#This Row],[Gender Code]]=1,"Male","Female")</f>
        <v>Female</v>
      </c>
      <c r="E266" s="1">
        <v>2</v>
      </c>
      <c r="F266" s="1">
        <v>1</v>
      </c>
      <c r="G266" s="2">
        <v>12.785257663627201</v>
      </c>
      <c r="H266" s="1">
        <v>23</v>
      </c>
      <c r="I266" s="1">
        <v>0</v>
      </c>
      <c r="J266" s="1">
        <v>2</v>
      </c>
      <c r="K266" s="1">
        <v>0</v>
      </c>
      <c r="L266" s="1">
        <v>0</v>
      </c>
      <c r="M266" s="1">
        <v>0</v>
      </c>
      <c r="N266" s="1">
        <v>0</v>
      </c>
      <c r="O266" s="3">
        <v>0.80943381036846196</v>
      </c>
      <c r="P266" s="1">
        <v>4</v>
      </c>
      <c r="Q266" s="1" t="str">
        <f>IF(Table2[[#This Row],[GradeClass]]=4,"A",IF(Table2[[#This Row],[GradeClass]]=3,"B",IF(Table2[[#This Row],[GradeClass]]=2,"C",IF(Table2[[#This Row],[GradeClass]]=1,"D","F"))))</f>
        <v>A</v>
      </c>
    </row>
    <row r="267" spans="1:17" x14ac:dyDescent="0.3">
      <c r="A267" s="1">
        <v>1266</v>
      </c>
      <c r="B267" s="1">
        <v>16</v>
      </c>
      <c r="C267" s="1">
        <v>1</v>
      </c>
      <c r="D267" s="1" t="str">
        <f>IF(Table2[[#This Row],[Gender Code]]=1,"Male","Female")</f>
        <v>Male</v>
      </c>
      <c r="E267" s="1">
        <v>2</v>
      </c>
      <c r="F267" s="1">
        <v>2</v>
      </c>
      <c r="G267" s="2">
        <v>1.50285906355173</v>
      </c>
      <c r="H267" s="1">
        <v>10</v>
      </c>
      <c r="I267" s="1">
        <v>1</v>
      </c>
      <c r="J267" s="1">
        <v>3</v>
      </c>
      <c r="K267" s="1">
        <v>0</v>
      </c>
      <c r="L267" s="1">
        <v>0</v>
      </c>
      <c r="M267" s="1">
        <v>0</v>
      </c>
      <c r="N267" s="1">
        <v>0</v>
      </c>
      <c r="O267" s="3">
        <v>2.1502332699887798</v>
      </c>
      <c r="P267" s="1">
        <v>3</v>
      </c>
      <c r="Q267" s="1" t="str">
        <f>IF(Table2[[#This Row],[GradeClass]]=4,"A",IF(Table2[[#This Row],[GradeClass]]=3,"B",IF(Table2[[#This Row],[GradeClass]]=2,"C",IF(Table2[[#This Row],[GradeClass]]=1,"D","F"))))</f>
        <v>B</v>
      </c>
    </row>
    <row r="268" spans="1:17" x14ac:dyDescent="0.3">
      <c r="A268" s="1">
        <v>1267</v>
      </c>
      <c r="B268" s="1">
        <v>18</v>
      </c>
      <c r="C268" s="1">
        <v>0</v>
      </c>
      <c r="D268" s="1" t="str">
        <f>IF(Table2[[#This Row],[Gender Code]]=1,"Male","Female")</f>
        <v>Female</v>
      </c>
      <c r="E268" s="1">
        <v>0</v>
      </c>
      <c r="F268" s="1">
        <v>1</v>
      </c>
      <c r="G268" s="2">
        <v>2.684048526527</v>
      </c>
      <c r="H268" s="1">
        <v>26</v>
      </c>
      <c r="I268" s="1">
        <v>0</v>
      </c>
      <c r="J268" s="1">
        <v>3</v>
      </c>
      <c r="K268" s="1">
        <v>0</v>
      </c>
      <c r="L268" s="1">
        <v>0</v>
      </c>
      <c r="M268" s="1">
        <v>0</v>
      </c>
      <c r="N268" s="1">
        <v>0</v>
      </c>
      <c r="O268" s="3">
        <v>0.55914371551184405</v>
      </c>
      <c r="P268" s="1">
        <v>4</v>
      </c>
      <c r="Q268" s="1" t="str">
        <f>IF(Table2[[#This Row],[GradeClass]]=4,"A",IF(Table2[[#This Row],[GradeClass]]=3,"B",IF(Table2[[#This Row],[GradeClass]]=2,"C",IF(Table2[[#This Row],[GradeClass]]=1,"D","F"))))</f>
        <v>A</v>
      </c>
    </row>
    <row r="269" spans="1:17" x14ac:dyDescent="0.3">
      <c r="A269" s="1">
        <v>1268</v>
      </c>
      <c r="B269" s="1">
        <v>18</v>
      </c>
      <c r="C269" s="1">
        <v>1</v>
      </c>
      <c r="D269" s="1" t="str">
        <f>IF(Table2[[#This Row],[Gender Code]]=1,"Male","Female")</f>
        <v>Male</v>
      </c>
      <c r="E269" s="1">
        <v>1</v>
      </c>
      <c r="F269" s="1">
        <v>3</v>
      </c>
      <c r="G269" s="2">
        <v>12.8951345318018</v>
      </c>
      <c r="H269" s="1">
        <v>28</v>
      </c>
      <c r="I269" s="1">
        <v>0</v>
      </c>
      <c r="J269" s="1">
        <v>3</v>
      </c>
      <c r="K269" s="1">
        <v>0</v>
      </c>
      <c r="L269" s="1">
        <v>0</v>
      </c>
      <c r="M269" s="1">
        <v>0</v>
      </c>
      <c r="N269" s="1">
        <v>0</v>
      </c>
      <c r="O269" s="3">
        <v>0.58078848517705595</v>
      </c>
      <c r="P269" s="1">
        <v>4</v>
      </c>
      <c r="Q269" s="1" t="str">
        <f>IF(Table2[[#This Row],[GradeClass]]=4,"A",IF(Table2[[#This Row],[GradeClass]]=3,"B",IF(Table2[[#This Row],[GradeClass]]=2,"C",IF(Table2[[#This Row],[GradeClass]]=1,"D","F"))))</f>
        <v>A</v>
      </c>
    </row>
    <row r="270" spans="1:17" x14ac:dyDescent="0.3">
      <c r="A270" s="1">
        <v>1269</v>
      </c>
      <c r="B270" s="1">
        <v>17</v>
      </c>
      <c r="C270" s="1">
        <v>1</v>
      </c>
      <c r="D270" s="1" t="str">
        <f>IF(Table2[[#This Row],[Gender Code]]=1,"Male","Female")</f>
        <v>Male</v>
      </c>
      <c r="E270" s="1">
        <v>0</v>
      </c>
      <c r="F270" s="1">
        <v>1</v>
      </c>
      <c r="G270" s="2">
        <v>6.7932124096288504</v>
      </c>
      <c r="H270" s="1">
        <v>13</v>
      </c>
      <c r="I270" s="1">
        <v>0</v>
      </c>
      <c r="J270" s="1">
        <v>0</v>
      </c>
      <c r="K270" s="1">
        <v>0</v>
      </c>
      <c r="L270" s="1">
        <v>1</v>
      </c>
      <c r="M270" s="1">
        <v>1</v>
      </c>
      <c r="N270" s="1">
        <v>1</v>
      </c>
      <c r="O270" s="3">
        <v>1.6020891959846699</v>
      </c>
      <c r="P270" s="1">
        <v>4</v>
      </c>
      <c r="Q270" s="1" t="str">
        <f>IF(Table2[[#This Row],[GradeClass]]=4,"A",IF(Table2[[#This Row],[GradeClass]]=3,"B",IF(Table2[[#This Row],[GradeClass]]=2,"C",IF(Table2[[#This Row],[GradeClass]]=1,"D","F"))))</f>
        <v>A</v>
      </c>
    </row>
    <row r="271" spans="1:17" x14ac:dyDescent="0.3">
      <c r="A271" s="1">
        <v>1270</v>
      </c>
      <c r="B271" s="1">
        <v>17</v>
      </c>
      <c r="C271" s="1">
        <v>1</v>
      </c>
      <c r="D271" s="1" t="str">
        <f>IF(Table2[[#This Row],[Gender Code]]=1,"Male","Female")</f>
        <v>Male</v>
      </c>
      <c r="E271" s="1">
        <v>2</v>
      </c>
      <c r="F271" s="1">
        <v>0</v>
      </c>
      <c r="G271" s="2">
        <v>14.1589565340237</v>
      </c>
      <c r="H271" s="1">
        <v>21</v>
      </c>
      <c r="I271" s="1">
        <v>1</v>
      </c>
      <c r="J271" s="1">
        <v>2</v>
      </c>
      <c r="K271" s="1">
        <v>0</v>
      </c>
      <c r="L271" s="1">
        <v>1</v>
      </c>
      <c r="M271" s="1">
        <v>0</v>
      </c>
      <c r="N271" s="1">
        <v>0</v>
      </c>
      <c r="O271" s="3">
        <v>1.00279836358193</v>
      </c>
      <c r="P271" s="1">
        <v>4</v>
      </c>
      <c r="Q271" s="1" t="str">
        <f>IF(Table2[[#This Row],[GradeClass]]=4,"A",IF(Table2[[#This Row],[GradeClass]]=3,"B",IF(Table2[[#This Row],[GradeClass]]=2,"C",IF(Table2[[#This Row],[GradeClass]]=1,"D","F"))))</f>
        <v>A</v>
      </c>
    </row>
    <row r="272" spans="1:17" x14ac:dyDescent="0.3">
      <c r="A272" s="1">
        <v>1271</v>
      </c>
      <c r="B272" s="1">
        <v>16</v>
      </c>
      <c r="C272" s="1">
        <v>1</v>
      </c>
      <c r="D272" s="1" t="str">
        <f>IF(Table2[[#This Row],[Gender Code]]=1,"Male","Female")</f>
        <v>Male</v>
      </c>
      <c r="E272" s="1">
        <v>0</v>
      </c>
      <c r="F272" s="1">
        <v>2</v>
      </c>
      <c r="G272" s="2">
        <v>11.1484948934028</v>
      </c>
      <c r="H272" s="1">
        <v>15</v>
      </c>
      <c r="I272" s="1">
        <v>0</v>
      </c>
      <c r="J272" s="1">
        <v>3</v>
      </c>
      <c r="K272" s="1">
        <v>0</v>
      </c>
      <c r="L272" s="1">
        <v>0</v>
      </c>
      <c r="M272" s="1">
        <v>0</v>
      </c>
      <c r="N272" s="1">
        <v>0</v>
      </c>
      <c r="O272" s="3">
        <v>1.66306345319906</v>
      </c>
      <c r="P272" s="1">
        <v>4</v>
      </c>
      <c r="Q272" s="1" t="str">
        <f>IF(Table2[[#This Row],[GradeClass]]=4,"A",IF(Table2[[#This Row],[GradeClass]]=3,"B",IF(Table2[[#This Row],[GradeClass]]=2,"C",IF(Table2[[#This Row],[GradeClass]]=1,"D","F"))))</f>
        <v>A</v>
      </c>
    </row>
    <row r="273" spans="1:17" x14ac:dyDescent="0.3">
      <c r="A273" s="1">
        <v>1272</v>
      </c>
      <c r="B273" s="1">
        <v>18</v>
      </c>
      <c r="C273" s="1">
        <v>0</v>
      </c>
      <c r="D273" s="1" t="str">
        <f>IF(Table2[[#This Row],[Gender Code]]=1,"Male","Female")</f>
        <v>Female</v>
      </c>
      <c r="E273" s="1">
        <v>1</v>
      </c>
      <c r="F273" s="1">
        <v>2</v>
      </c>
      <c r="G273" s="2">
        <v>5.1204234612302599</v>
      </c>
      <c r="H273" s="1">
        <v>13</v>
      </c>
      <c r="I273" s="1">
        <v>0</v>
      </c>
      <c r="J273" s="1">
        <v>3</v>
      </c>
      <c r="K273" s="1">
        <v>0</v>
      </c>
      <c r="L273" s="1">
        <v>0</v>
      </c>
      <c r="M273" s="1">
        <v>0</v>
      </c>
      <c r="N273" s="1">
        <v>1</v>
      </c>
      <c r="O273" s="3">
        <v>1.53154645971956</v>
      </c>
      <c r="P273" s="1">
        <v>4</v>
      </c>
      <c r="Q273" s="1" t="str">
        <f>IF(Table2[[#This Row],[GradeClass]]=4,"A",IF(Table2[[#This Row],[GradeClass]]=3,"B",IF(Table2[[#This Row],[GradeClass]]=2,"C",IF(Table2[[#This Row],[GradeClass]]=1,"D","F"))))</f>
        <v>A</v>
      </c>
    </row>
    <row r="274" spans="1:17" x14ac:dyDescent="0.3">
      <c r="A274" s="1">
        <v>1273</v>
      </c>
      <c r="B274" s="1">
        <v>18</v>
      </c>
      <c r="C274" s="1">
        <v>1</v>
      </c>
      <c r="D274" s="1" t="str">
        <f>IF(Table2[[#This Row],[Gender Code]]=1,"Male","Female")</f>
        <v>Male</v>
      </c>
      <c r="E274" s="1">
        <v>1</v>
      </c>
      <c r="F274" s="1">
        <v>2</v>
      </c>
      <c r="G274" s="2">
        <v>13.0165590097865</v>
      </c>
      <c r="H274" s="1">
        <v>11</v>
      </c>
      <c r="I274" s="1">
        <v>0</v>
      </c>
      <c r="J274" s="1">
        <v>4</v>
      </c>
      <c r="K274" s="1">
        <v>0</v>
      </c>
      <c r="L274" s="1">
        <v>0</v>
      </c>
      <c r="M274" s="1">
        <v>0</v>
      </c>
      <c r="N274" s="1">
        <v>0</v>
      </c>
      <c r="O274" s="3">
        <v>2.2058421470303302</v>
      </c>
      <c r="P274" s="1">
        <v>3</v>
      </c>
      <c r="Q274" s="1" t="str">
        <f>IF(Table2[[#This Row],[GradeClass]]=4,"A",IF(Table2[[#This Row],[GradeClass]]=3,"B",IF(Table2[[#This Row],[GradeClass]]=2,"C",IF(Table2[[#This Row],[GradeClass]]=1,"D","F"))))</f>
        <v>B</v>
      </c>
    </row>
    <row r="275" spans="1:17" x14ac:dyDescent="0.3">
      <c r="A275" s="1">
        <v>1274</v>
      </c>
      <c r="B275" s="1">
        <v>18</v>
      </c>
      <c r="C275" s="1">
        <v>0</v>
      </c>
      <c r="D275" s="1" t="str">
        <f>IF(Table2[[#This Row],[Gender Code]]=1,"Male","Female")</f>
        <v>Female</v>
      </c>
      <c r="E275" s="1">
        <v>0</v>
      </c>
      <c r="F275" s="1">
        <v>1</v>
      </c>
      <c r="G275" s="2">
        <v>2.32547360585761</v>
      </c>
      <c r="H275" s="1">
        <v>16</v>
      </c>
      <c r="I275" s="1">
        <v>0</v>
      </c>
      <c r="J275" s="1">
        <v>3</v>
      </c>
      <c r="K275" s="1">
        <v>0</v>
      </c>
      <c r="L275" s="1">
        <v>0</v>
      </c>
      <c r="M275" s="1">
        <v>0</v>
      </c>
      <c r="N275" s="1">
        <v>1</v>
      </c>
      <c r="O275" s="3">
        <v>1.1553385609656599</v>
      </c>
      <c r="P275" s="1">
        <v>4</v>
      </c>
      <c r="Q275" s="1" t="str">
        <f>IF(Table2[[#This Row],[GradeClass]]=4,"A",IF(Table2[[#This Row],[GradeClass]]=3,"B",IF(Table2[[#This Row],[GradeClass]]=2,"C",IF(Table2[[#This Row],[GradeClass]]=1,"D","F"))))</f>
        <v>A</v>
      </c>
    </row>
    <row r="276" spans="1:17" x14ac:dyDescent="0.3">
      <c r="A276" s="1">
        <v>1275</v>
      </c>
      <c r="B276" s="1">
        <v>15</v>
      </c>
      <c r="C276" s="1">
        <v>1</v>
      </c>
      <c r="D276" s="1" t="str">
        <f>IF(Table2[[#This Row],[Gender Code]]=1,"Male","Female")</f>
        <v>Male</v>
      </c>
      <c r="E276" s="1">
        <v>0</v>
      </c>
      <c r="F276" s="1">
        <v>2</v>
      </c>
      <c r="G276" s="2">
        <v>10.728207661600599</v>
      </c>
      <c r="H276" s="1">
        <v>13</v>
      </c>
      <c r="I276" s="1">
        <v>1</v>
      </c>
      <c r="J276" s="1">
        <v>1</v>
      </c>
      <c r="K276" s="1">
        <v>0</v>
      </c>
      <c r="L276" s="1">
        <v>0</v>
      </c>
      <c r="M276" s="1">
        <v>0</v>
      </c>
      <c r="N276" s="1">
        <v>0</v>
      </c>
      <c r="O276" s="3">
        <v>2.1537583398693898</v>
      </c>
      <c r="P276" s="1">
        <v>3</v>
      </c>
      <c r="Q276" s="1" t="str">
        <f>IF(Table2[[#This Row],[GradeClass]]=4,"A",IF(Table2[[#This Row],[GradeClass]]=3,"B",IF(Table2[[#This Row],[GradeClass]]=2,"C",IF(Table2[[#This Row],[GradeClass]]=1,"D","F"))))</f>
        <v>B</v>
      </c>
    </row>
    <row r="277" spans="1:17" x14ac:dyDescent="0.3">
      <c r="A277" s="1">
        <v>1276</v>
      </c>
      <c r="B277" s="1">
        <v>18</v>
      </c>
      <c r="C277" s="1">
        <v>1</v>
      </c>
      <c r="D277" s="1" t="str">
        <f>IF(Table2[[#This Row],[Gender Code]]=1,"Male","Female")</f>
        <v>Male</v>
      </c>
      <c r="E277" s="1">
        <v>1</v>
      </c>
      <c r="F277" s="1">
        <v>1</v>
      </c>
      <c r="G277" s="2">
        <v>8.7429621009006908</v>
      </c>
      <c r="H277" s="1">
        <v>9</v>
      </c>
      <c r="I277" s="1">
        <v>0</v>
      </c>
      <c r="J277" s="1">
        <v>2</v>
      </c>
      <c r="K277" s="1">
        <v>1</v>
      </c>
      <c r="L277" s="1">
        <v>0</v>
      </c>
      <c r="M277" s="1">
        <v>0</v>
      </c>
      <c r="N277" s="1">
        <v>1</v>
      </c>
      <c r="O277" s="3">
        <v>2.5927866863170301</v>
      </c>
      <c r="P277" s="1">
        <v>2</v>
      </c>
      <c r="Q277" s="1" t="str">
        <f>IF(Table2[[#This Row],[GradeClass]]=4,"A",IF(Table2[[#This Row],[GradeClass]]=3,"B",IF(Table2[[#This Row],[GradeClass]]=2,"C",IF(Table2[[#This Row],[GradeClass]]=1,"D","F"))))</f>
        <v>C</v>
      </c>
    </row>
    <row r="278" spans="1:17" x14ac:dyDescent="0.3">
      <c r="A278" s="1">
        <v>1277</v>
      </c>
      <c r="B278" s="1">
        <v>15</v>
      </c>
      <c r="C278" s="1">
        <v>0</v>
      </c>
      <c r="D278" s="1" t="str">
        <f>IF(Table2[[#This Row],[Gender Code]]=1,"Male","Female")</f>
        <v>Female</v>
      </c>
      <c r="E278" s="1">
        <v>2</v>
      </c>
      <c r="F278" s="1">
        <v>3</v>
      </c>
      <c r="G278" s="2">
        <v>5.3574716563488103</v>
      </c>
      <c r="H278" s="1">
        <v>23</v>
      </c>
      <c r="I278" s="1">
        <v>0</v>
      </c>
      <c r="J278" s="1">
        <v>0</v>
      </c>
      <c r="K278" s="1">
        <v>1</v>
      </c>
      <c r="L278" s="1">
        <v>1</v>
      </c>
      <c r="M278" s="1">
        <v>0</v>
      </c>
      <c r="N278" s="1">
        <v>0</v>
      </c>
      <c r="O278" s="3">
        <v>0.91233050709555397</v>
      </c>
      <c r="P278" s="1">
        <v>4</v>
      </c>
      <c r="Q278" s="1" t="str">
        <f>IF(Table2[[#This Row],[GradeClass]]=4,"A",IF(Table2[[#This Row],[GradeClass]]=3,"B",IF(Table2[[#This Row],[GradeClass]]=2,"C",IF(Table2[[#This Row],[GradeClass]]=1,"D","F"))))</f>
        <v>A</v>
      </c>
    </row>
    <row r="279" spans="1:17" x14ac:dyDescent="0.3">
      <c r="A279" s="1">
        <v>1278</v>
      </c>
      <c r="B279" s="1">
        <v>16</v>
      </c>
      <c r="C279" s="1">
        <v>0</v>
      </c>
      <c r="D279" s="1" t="str">
        <f>IF(Table2[[#This Row],[Gender Code]]=1,"Male","Female")</f>
        <v>Female</v>
      </c>
      <c r="E279" s="1">
        <v>0</v>
      </c>
      <c r="F279" s="1">
        <v>3</v>
      </c>
      <c r="G279" s="2">
        <v>12.080099954790001</v>
      </c>
      <c r="H279" s="1">
        <v>28</v>
      </c>
      <c r="I279" s="1">
        <v>1</v>
      </c>
      <c r="J279" s="1">
        <v>3</v>
      </c>
      <c r="K279" s="1">
        <v>0</v>
      </c>
      <c r="L279" s="1">
        <v>0</v>
      </c>
      <c r="M279" s="1">
        <v>0</v>
      </c>
      <c r="N279" s="1">
        <v>0</v>
      </c>
      <c r="O279" s="3">
        <v>0.69563093345994598</v>
      </c>
      <c r="P279" s="1">
        <v>4</v>
      </c>
      <c r="Q279" s="1" t="str">
        <f>IF(Table2[[#This Row],[GradeClass]]=4,"A",IF(Table2[[#This Row],[GradeClass]]=3,"B",IF(Table2[[#This Row],[GradeClass]]=2,"C",IF(Table2[[#This Row],[GradeClass]]=1,"D","F"))))</f>
        <v>A</v>
      </c>
    </row>
    <row r="280" spans="1:17" x14ac:dyDescent="0.3">
      <c r="A280" s="1">
        <v>1279</v>
      </c>
      <c r="B280" s="1">
        <v>15</v>
      </c>
      <c r="C280" s="1">
        <v>0</v>
      </c>
      <c r="D280" s="1" t="str">
        <f>IF(Table2[[#This Row],[Gender Code]]=1,"Male","Female")</f>
        <v>Female</v>
      </c>
      <c r="E280" s="1">
        <v>1</v>
      </c>
      <c r="F280" s="1">
        <v>2</v>
      </c>
      <c r="G280" s="2">
        <v>17.426671846805601</v>
      </c>
      <c r="H280" s="1">
        <v>13</v>
      </c>
      <c r="I280" s="1">
        <v>1</v>
      </c>
      <c r="J280" s="1">
        <v>2</v>
      </c>
      <c r="K280" s="1">
        <v>0</v>
      </c>
      <c r="L280" s="1">
        <v>0</v>
      </c>
      <c r="M280" s="1">
        <v>0</v>
      </c>
      <c r="N280" s="1">
        <v>0</v>
      </c>
      <c r="O280" s="3">
        <v>2.1396198913689801</v>
      </c>
      <c r="P280" s="1">
        <v>3</v>
      </c>
      <c r="Q280" s="1" t="str">
        <f>IF(Table2[[#This Row],[GradeClass]]=4,"A",IF(Table2[[#This Row],[GradeClass]]=3,"B",IF(Table2[[#This Row],[GradeClass]]=2,"C",IF(Table2[[#This Row],[GradeClass]]=1,"D","F"))))</f>
        <v>B</v>
      </c>
    </row>
    <row r="281" spans="1:17" x14ac:dyDescent="0.3">
      <c r="A281" s="1">
        <v>1280</v>
      </c>
      <c r="B281" s="1">
        <v>16</v>
      </c>
      <c r="C281" s="1">
        <v>1</v>
      </c>
      <c r="D281" s="1" t="str">
        <f>IF(Table2[[#This Row],[Gender Code]]=1,"Male","Female")</f>
        <v>Male</v>
      </c>
      <c r="E281" s="1">
        <v>0</v>
      </c>
      <c r="F281" s="1">
        <v>1</v>
      </c>
      <c r="G281" s="2">
        <v>19.978093995261499</v>
      </c>
      <c r="H281" s="1">
        <v>17</v>
      </c>
      <c r="I281" s="1">
        <v>0</v>
      </c>
      <c r="J281" s="1">
        <v>3</v>
      </c>
      <c r="K281" s="1">
        <v>0</v>
      </c>
      <c r="L281" s="1">
        <v>0</v>
      </c>
      <c r="M281" s="1">
        <v>0</v>
      </c>
      <c r="N281" s="1">
        <v>0</v>
      </c>
      <c r="O281" s="3">
        <v>1.5504493308923299</v>
      </c>
      <c r="P281" s="1">
        <v>4</v>
      </c>
      <c r="Q281" s="1" t="str">
        <f>IF(Table2[[#This Row],[GradeClass]]=4,"A",IF(Table2[[#This Row],[GradeClass]]=3,"B",IF(Table2[[#This Row],[GradeClass]]=2,"C",IF(Table2[[#This Row],[GradeClass]]=1,"D","F"))))</f>
        <v>A</v>
      </c>
    </row>
    <row r="282" spans="1:17" x14ac:dyDescent="0.3">
      <c r="A282" s="1">
        <v>1281</v>
      </c>
      <c r="B282" s="1">
        <v>18</v>
      </c>
      <c r="C282" s="1">
        <v>1</v>
      </c>
      <c r="D282" s="1" t="str">
        <f>IF(Table2[[#This Row],[Gender Code]]=1,"Male","Female")</f>
        <v>Male</v>
      </c>
      <c r="E282" s="1">
        <v>2</v>
      </c>
      <c r="F282" s="1">
        <v>2</v>
      </c>
      <c r="G282" s="2">
        <v>12.1552553748684</v>
      </c>
      <c r="H282" s="1">
        <v>21</v>
      </c>
      <c r="I282" s="1">
        <v>0</v>
      </c>
      <c r="J282" s="1">
        <v>4</v>
      </c>
      <c r="K282" s="1">
        <v>0</v>
      </c>
      <c r="L282" s="1">
        <v>0</v>
      </c>
      <c r="M282" s="1">
        <v>0</v>
      </c>
      <c r="N282" s="1">
        <v>1</v>
      </c>
      <c r="O282" s="3">
        <v>1.5475367003506</v>
      </c>
      <c r="P282" s="1">
        <v>4</v>
      </c>
      <c r="Q282" s="1" t="str">
        <f>IF(Table2[[#This Row],[GradeClass]]=4,"A",IF(Table2[[#This Row],[GradeClass]]=3,"B",IF(Table2[[#This Row],[GradeClass]]=2,"C",IF(Table2[[#This Row],[GradeClass]]=1,"D","F"))))</f>
        <v>A</v>
      </c>
    </row>
    <row r="283" spans="1:17" x14ac:dyDescent="0.3">
      <c r="A283" s="1">
        <v>1282</v>
      </c>
      <c r="B283" s="1">
        <v>18</v>
      </c>
      <c r="C283" s="1">
        <v>0</v>
      </c>
      <c r="D283" s="1" t="str">
        <f>IF(Table2[[#This Row],[Gender Code]]=1,"Male","Female")</f>
        <v>Female</v>
      </c>
      <c r="E283" s="1">
        <v>0</v>
      </c>
      <c r="F283" s="1">
        <v>0</v>
      </c>
      <c r="G283" s="2">
        <v>8.0941174865834</v>
      </c>
      <c r="H283" s="1">
        <v>8</v>
      </c>
      <c r="I283" s="1">
        <v>1</v>
      </c>
      <c r="J283" s="1">
        <v>3</v>
      </c>
      <c r="K283" s="1">
        <v>0</v>
      </c>
      <c r="L283" s="1">
        <v>0</v>
      </c>
      <c r="M283" s="1">
        <v>1</v>
      </c>
      <c r="N283" s="1">
        <v>0</v>
      </c>
      <c r="O283" s="3">
        <v>2.9665480342949402</v>
      </c>
      <c r="P283" s="1">
        <v>2</v>
      </c>
      <c r="Q283" s="1" t="str">
        <f>IF(Table2[[#This Row],[GradeClass]]=4,"A",IF(Table2[[#This Row],[GradeClass]]=3,"B",IF(Table2[[#This Row],[GradeClass]]=2,"C",IF(Table2[[#This Row],[GradeClass]]=1,"D","F"))))</f>
        <v>C</v>
      </c>
    </row>
    <row r="284" spans="1:17" x14ac:dyDescent="0.3">
      <c r="A284" s="1">
        <v>1283</v>
      </c>
      <c r="B284" s="1">
        <v>16</v>
      </c>
      <c r="C284" s="1">
        <v>0</v>
      </c>
      <c r="D284" s="1" t="str">
        <f>IF(Table2[[#This Row],[Gender Code]]=1,"Male","Female")</f>
        <v>Female</v>
      </c>
      <c r="E284" s="1">
        <v>2</v>
      </c>
      <c r="F284" s="1">
        <v>2</v>
      </c>
      <c r="G284" s="2">
        <v>4.5041420043240299</v>
      </c>
      <c r="H284" s="1">
        <v>16</v>
      </c>
      <c r="I284" s="1">
        <v>0</v>
      </c>
      <c r="J284" s="1">
        <v>2</v>
      </c>
      <c r="K284" s="1">
        <v>1</v>
      </c>
      <c r="L284" s="1">
        <v>0</v>
      </c>
      <c r="M284" s="1">
        <v>0</v>
      </c>
      <c r="N284" s="1">
        <v>1</v>
      </c>
      <c r="O284" s="3">
        <v>1.63367937100322</v>
      </c>
      <c r="P284" s="1">
        <v>4</v>
      </c>
      <c r="Q284" s="1" t="str">
        <f>IF(Table2[[#This Row],[GradeClass]]=4,"A",IF(Table2[[#This Row],[GradeClass]]=3,"B",IF(Table2[[#This Row],[GradeClass]]=2,"C",IF(Table2[[#This Row],[GradeClass]]=1,"D","F"))))</f>
        <v>A</v>
      </c>
    </row>
    <row r="285" spans="1:17" x14ac:dyDescent="0.3">
      <c r="A285" s="1">
        <v>1284</v>
      </c>
      <c r="B285" s="1">
        <v>17</v>
      </c>
      <c r="C285" s="1">
        <v>0</v>
      </c>
      <c r="D285" s="1" t="str">
        <f>IF(Table2[[#This Row],[Gender Code]]=1,"Male","Female")</f>
        <v>Female</v>
      </c>
      <c r="E285" s="1">
        <v>0</v>
      </c>
      <c r="F285" s="1">
        <v>1</v>
      </c>
      <c r="G285" s="2">
        <v>5.1419217879022296</v>
      </c>
      <c r="H285" s="1">
        <v>5</v>
      </c>
      <c r="I285" s="1">
        <v>1</v>
      </c>
      <c r="J285" s="1">
        <v>1</v>
      </c>
      <c r="K285" s="1">
        <v>0</v>
      </c>
      <c r="L285" s="1">
        <v>0</v>
      </c>
      <c r="M285" s="1">
        <v>0</v>
      </c>
      <c r="N285" s="1">
        <v>0</v>
      </c>
      <c r="O285" s="3">
        <v>2.3325403195354002</v>
      </c>
      <c r="P285" s="1">
        <v>3</v>
      </c>
      <c r="Q285" s="1" t="str">
        <f>IF(Table2[[#This Row],[GradeClass]]=4,"A",IF(Table2[[#This Row],[GradeClass]]=3,"B",IF(Table2[[#This Row],[GradeClass]]=2,"C",IF(Table2[[#This Row],[GradeClass]]=1,"D","F"))))</f>
        <v>B</v>
      </c>
    </row>
    <row r="286" spans="1:17" x14ac:dyDescent="0.3">
      <c r="A286" s="1">
        <v>1285</v>
      </c>
      <c r="B286" s="1">
        <v>16</v>
      </c>
      <c r="C286" s="1">
        <v>0</v>
      </c>
      <c r="D286" s="1" t="str">
        <f>IF(Table2[[#This Row],[Gender Code]]=1,"Male","Female")</f>
        <v>Female</v>
      </c>
      <c r="E286" s="1">
        <v>0</v>
      </c>
      <c r="F286" s="1">
        <v>3</v>
      </c>
      <c r="G286" s="2">
        <v>9.58909956299531</v>
      </c>
      <c r="H286" s="1">
        <v>7</v>
      </c>
      <c r="I286" s="1">
        <v>1</v>
      </c>
      <c r="J286" s="1">
        <v>3</v>
      </c>
      <c r="K286" s="1">
        <v>1</v>
      </c>
      <c r="L286" s="1">
        <v>1</v>
      </c>
      <c r="M286" s="1">
        <v>1</v>
      </c>
      <c r="N286" s="1">
        <v>0</v>
      </c>
      <c r="O286" s="3">
        <v>3.2702623094047301</v>
      </c>
      <c r="P286" s="1">
        <v>1</v>
      </c>
      <c r="Q286" s="1" t="str">
        <f>IF(Table2[[#This Row],[GradeClass]]=4,"A",IF(Table2[[#This Row],[GradeClass]]=3,"B",IF(Table2[[#This Row],[GradeClass]]=2,"C",IF(Table2[[#This Row],[GradeClass]]=1,"D","F"))))</f>
        <v>D</v>
      </c>
    </row>
    <row r="287" spans="1:17" x14ac:dyDescent="0.3">
      <c r="A287" s="1">
        <v>1286</v>
      </c>
      <c r="B287" s="1">
        <v>17</v>
      </c>
      <c r="C287" s="1">
        <v>1</v>
      </c>
      <c r="D287" s="1" t="str">
        <f>IF(Table2[[#This Row],[Gender Code]]=1,"Male","Female")</f>
        <v>Male</v>
      </c>
      <c r="E287" s="1">
        <v>0</v>
      </c>
      <c r="F287" s="1">
        <v>0</v>
      </c>
      <c r="G287" s="2">
        <v>7.34555402561418</v>
      </c>
      <c r="H287" s="1">
        <v>25</v>
      </c>
      <c r="I287" s="1">
        <v>0</v>
      </c>
      <c r="J287" s="1">
        <v>1</v>
      </c>
      <c r="K287" s="1">
        <v>0</v>
      </c>
      <c r="L287" s="1">
        <v>0</v>
      </c>
      <c r="M287" s="1">
        <v>0</v>
      </c>
      <c r="N287" s="1">
        <v>0</v>
      </c>
      <c r="O287" s="3">
        <v>0.34647059259027602</v>
      </c>
      <c r="P287" s="1">
        <v>4</v>
      </c>
      <c r="Q287" s="1" t="str">
        <f>IF(Table2[[#This Row],[GradeClass]]=4,"A",IF(Table2[[#This Row],[GradeClass]]=3,"B",IF(Table2[[#This Row],[GradeClass]]=2,"C",IF(Table2[[#This Row],[GradeClass]]=1,"D","F"))))</f>
        <v>A</v>
      </c>
    </row>
    <row r="288" spans="1:17" x14ac:dyDescent="0.3">
      <c r="A288" s="1">
        <v>1287</v>
      </c>
      <c r="B288" s="1">
        <v>15</v>
      </c>
      <c r="C288" s="1">
        <v>0</v>
      </c>
      <c r="D288" s="1" t="str">
        <f>IF(Table2[[#This Row],[Gender Code]]=1,"Male","Female")</f>
        <v>Female</v>
      </c>
      <c r="E288" s="1">
        <v>0</v>
      </c>
      <c r="F288" s="1">
        <v>2</v>
      </c>
      <c r="G288" s="2">
        <v>18.276290452498799</v>
      </c>
      <c r="H288" s="1">
        <v>12</v>
      </c>
      <c r="I288" s="1">
        <v>1</v>
      </c>
      <c r="J288" s="1">
        <v>1</v>
      </c>
      <c r="K288" s="1">
        <v>0</v>
      </c>
      <c r="L288" s="1">
        <v>0</v>
      </c>
      <c r="M288" s="1">
        <v>0</v>
      </c>
      <c r="N288" s="1">
        <v>0</v>
      </c>
      <c r="O288" s="3">
        <v>1.8949043363400999</v>
      </c>
      <c r="P288" s="1">
        <v>4</v>
      </c>
      <c r="Q288" s="1" t="str">
        <f>IF(Table2[[#This Row],[GradeClass]]=4,"A",IF(Table2[[#This Row],[GradeClass]]=3,"B",IF(Table2[[#This Row],[GradeClass]]=2,"C",IF(Table2[[#This Row],[GradeClass]]=1,"D","F"))))</f>
        <v>A</v>
      </c>
    </row>
    <row r="289" spans="1:17" x14ac:dyDescent="0.3">
      <c r="A289" s="1">
        <v>1288</v>
      </c>
      <c r="B289" s="1">
        <v>15</v>
      </c>
      <c r="C289" s="1">
        <v>0</v>
      </c>
      <c r="D289" s="1" t="str">
        <f>IF(Table2[[#This Row],[Gender Code]]=1,"Male","Female")</f>
        <v>Female</v>
      </c>
      <c r="E289" s="1">
        <v>1</v>
      </c>
      <c r="F289" s="1">
        <v>2</v>
      </c>
      <c r="G289" s="2">
        <v>7.3659093531141897</v>
      </c>
      <c r="H289" s="1">
        <v>17</v>
      </c>
      <c r="I289" s="1">
        <v>0</v>
      </c>
      <c r="J289" s="1">
        <v>1</v>
      </c>
      <c r="K289" s="1">
        <v>0</v>
      </c>
      <c r="L289" s="1">
        <v>0</v>
      </c>
      <c r="M289" s="1">
        <v>0</v>
      </c>
      <c r="N289" s="1">
        <v>0</v>
      </c>
      <c r="O289" s="3">
        <v>1.4567426010872599</v>
      </c>
      <c r="P289" s="1">
        <v>4</v>
      </c>
      <c r="Q289" s="1" t="str">
        <f>IF(Table2[[#This Row],[GradeClass]]=4,"A",IF(Table2[[#This Row],[GradeClass]]=3,"B",IF(Table2[[#This Row],[GradeClass]]=2,"C",IF(Table2[[#This Row],[GradeClass]]=1,"D","F"))))</f>
        <v>A</v>
      </c>
    </row>
    <row r="290" spans="1:17" x14ac:dyDescent="0.3">
      <c r="A290" s="1">
        <v>1289</v>
      </c>
      <c r="B290" s="1">
        <v>15</v>
      </c>
      <c r="C290" s="1">
        <v>0</v>
      </c>
      <c r="D290" s="1" t="str">
        <f>IF(Table2[[#This Row],[Gender Code]]=1,"Male","Female")</f>
        <v>Female</v>
      </c>
      <c r="E290" s="1">
        <v>0</v>
      </c>
      <c r="F290" s="1">
        <v>2</v>
      </c>
      <c r="G290" s="2">
        <v>7.4688918229086996</v>
      </c>
      <c r="H290" s="1">
        <v>4</v>
      </c>
      <c r="I290" s="1">
        <v>0</v>
      </c>
      <c r="J290" s="1">
        <v>2</v>
      </c>
      <c r="K290" s="1">
        <v>1</v>
      </c>
      <c r="L290" s="1">
        <v>0</v>
      </c>
      <c r="M290" s="1">
        <v>0</v>
      </c>
      <c r="N290" s="1">
        <v>0</v>
      </c>
      <c r="O290" s="3">
        <v>2.5537231512721799</v>
      </c>
      <c r="P290" s="1">
        <v>2</v>
      </c>
      <c r="Q290" s="1" t="str">
        <f>IF(Table2[[#This Row],[GradeClass]]=4,"A",IF(Table2[[#This Row],[GradeClass]]=3,"B",IF(Table2[[#This Row],[GradeClass]]=2,"C",IF(Table2[[#This Row],[GradeClass]]=1,"D","F"))))</f>
        <v>C</v>
      </c>
    </row>
    <row r="291" spans="1:17" x14ac:dyDescent="0.3">
      <c r="A291" s="1">
        <v>1290</v>
      </c>
      <c r="B291" s="1">
        <v>18</v>
      </c>
      <c r="C291" s="1">
        <v>0</v>
      </c>
      <c r="D291" s="1" t="str">
        <f>IF(Table2[[#This Row],[Gender Code]]=1,"Male","Female")</f>
        <v>Female</v>
      </c>
      <c r="E291" s="1">
        <v>2</v>
      </c>
      <c r="F291" s="1">
        <v>0</v>
      </c>
      <c r="G291" s="2">
        <v>7.6706902486795396</v>
      </c>
      <c r="H291" s="1">
        <v>5</v>
      </c>
      <c r="I291" s="1">
        <v>0</v>
      </c>
      <c r="J291" s="1">
        <v>1</v>
      </c>
      <c r="K291" s="1">
        <v>0</v>
      </c>
      <c r="L291" s="1">
        <v>0</v>
      </c>
      <c r="M291" s="1">
        <v>0</v>
      </c>
      <c r="N291" s="1">
        <v>0</v>
      </c>
      <c r="O291" s="3">
        <v>2.2241974612119999</v>
      </c>
      <c r="P291" s="1">
        <v>3</v>
      </c>
      <c r="Q291" s="1" t="str">
        <f>IF(Table2[[#This Row],[GradeClass]]=4,"A",IF(Table2[[#This Row],[GradeClass]]=3,"B",IF(Table2[[#This Row],[GradeClass]]=2,"C",IF(Table2[[#This Row],[GradeClass]]=1,"D","F"))))</f>
        <v>B</v>
      </c>
    </row>
    <row r="292" spans="1:17" x14ac:dyDescent="0.3">
      <c r="A292" s="1">
        <v>1291</v>
      </c>
      <c r="B292" s="1">
        <v>15</v>
      </c>
      <c r="C292" s="1">
        <v>1</v>
      </c>
      <c r="D292" s="1" t="str">
        <f>IF(Table2[[#This Row],[Gender Code]]=1,"Male","Female")</f>
        <v>Male</v>
      </c>
      <c r="E292" s="1">
        <v>0</v>
      </c>
      <c r="F292" s="1">
        <v>4</v>
      </c>
      <c r="G292" s="2">
        <v>16.732404207353099</v>
      </c>
      <c r="H292" s="1">
        <v>20</v>
      </c>
      <c r="I292" s="1">
        <v>1</v>
      </c>
      <c r="J292" s="1">
        <v>4</v>
      </c>
      <c r="K292" s="1">
        <v>0</v>
      </c>
      <c r="L292" s="1">
        <v>1</v>
      </c>
      <c r="M292" s="1">
        <v>1</v>
      </c>
      <c r="N292" s="1">
        <v>0</v>
      </c>
      <c r="O292" s="3">
        <v>1.84760041810842</v>
      </c>
      <c r="P292" s="1">
        <v>4</v>
      </c>
      <c r="Q292" s="1" t="str">
        <f>IF(Table2[[#This Row],[GradeClass]]=4,"A",IF(Table2[[#This Row],[GradeClass]]=3,"B",IF(Table2[[#This Row],[GradeClass]]=2,"C",IF(Table2[[#This Row],[GradeClass]]=1,"D","F"))))</f>
        <v>A</v>
      </c>
    </row>
    <row r="293" spans="1:17" x14ac:dyDescent="0.3">
      <c r="A293" s="1">
        <v>1292</v>
      </c>
      <c r="B293" s="1">
        <v>17</v>
      </c>
      <c r="C293" s="1">
        <v>0</v>
      </c>
      <c r="D293" s="1" t="str">
        <f>IF(Table2[[#This Row],[Gender Code]]=1,"Male","Female")</f>
        <v>Female</v>
      </c>
      <c r="E293" s="1">
        <v>0</v>
      </c>
      <c r="F293" s="1">
        <v>2</v>
      </c>
      <c r="G293" s="2">
        <v>13.015766416938</v>
      </c>
      <c r="H293" s="1">
        <v>18</v>
      </c>
      <c r="I293" s="1">
        <v>0</v>
      </c>
      <c r="J293" s="1">
        <v>4</v>
      </c>
      <c r="K293" s="1">
        <v>1</v>
      </c>
      <c r="L293" s="1">
        <v>0</v>
      </c>
      <c r="M293" s="1">
        <v>0</v>
      </c>
      <c r="N293" s="1">
        <v>0</v>
      </c>
      <c r="O293" s="3">
        <v>1.8497607071334801</v>
      </c>
      <c r="P293" s="1">
        <v>4</v>
      </c>
      <c r="Q293" s="1" t="str">
        <f>IF(Table2[[#This Row],[GradeClass]]=4,"A",IF(Table2[[#This Row],[GradeClass]]=3,"B",IF(Table2[[#This Row],[GradeClass]]=2,"C",IF(Table2[[#This Row],[GradeClass]]=1,"D","F"))))</f>
        <v>A</v>
      </c>
    </row>
    <row r="294" spans="1:17" x14ac:dyDescent="0.3">
      <c r="A294" s="1">
        <v>1293</v>
      </c>
      <c r="B294" s="1">
        <v>15</v>
      </c>
      <c r="C294" s="1">
        <v>1</v>
      </c>
      <c r="D294" s="1" t="str">
        <f>IF(Table2[[#This Row],[Gender Code]]=1,"Male","Female")</f>
        <v>Male</v>
      </c>
      <c r="E294" s="1">
        <v>0</v>
      </c>
      <c r="F294" s="1">
        <v>2</v>
      </c>
      <c r="G294" s="2">
        <v>12.283377006377799</v>
      </c>
      <c r="H294" s="1">
        <v>3</v>
      </c>
      <c r="I294" s="1">
        <v>0</v>
      </c>
      <c r="J294" s="1">
        <v>4</v>
      </c>
      <c r="K294" s="1">
        <v>0</v>
      </c>
      <c r="L294" s="1">
        <v>0</v>
      </c>
      <c r="M294" s="1">
        <v>1</v>
      </c>
      <c r="N294" s="1">
        <v>0</v>
      </c>
      <c r="O294" s="3">
        <v>3.2687942155602099</v>
      </c>
      <c r="P294" s="1">
        <v>1</v>
      </c>
      <c r="Q294" s="1" t="str">
        <f>IF(Table2[[#This Row],[GradeClass]]=4,"A",IF(Table2[[#This Row],[GradeClass]]=3,"B",IF(Table2[[#This Row],[GradeClass]]=2,"C",IF(Table2[[#This Row],[GradeClass]]=1,"D","F"))))</f>
        <v>D</v>
      </c>
    </row>
    <row r="295" spans="1:17" x14ac:dyDescent="0.3">
      <c r="A295" s="1">
        <v>1294</v>
      </c>
      <c r="B295" s="1">
        <v>16</v>
      </c>
      <c r="C295" s="1">
        <v>0</v>
      </c>
      <c r="D295" s="1" t="str">
        <f>IF(Table2[[#This Row],[Gender Code]]=1,"Male","Female")</f>
        <v>Female</v>
      </c>
      <c r="E295" s="1">
        <v>0</v>
      </c>
      <c r="F295" s="1">
        <v>1</v>
      </c>
      <c r="G295" s="2">
        <v>6.68286044767724</v>
      </c>
      <c r="H295" s="1">
        <v>6</v>
      </c>
      <c r="I295" s="1">
        <v>1</v>
      </c>
      <c r="J295" s="1">
        <v>0</v>
      </c>
      <c r="K295" s="1">
        <v>0</v>
      </c>
      <c r="L295" s="1">
        <v>0</v>
      </c>
      <c r="M295" s="1">
        <v>0</v>
      </c>
      <c r="N295" s="1">
        <v>1</v>
      </c>
      <c r="O295" s="3">
        <v>2.54651663724602</v>
      </c>
      <c r="P295" s="1">
        <v>2</v>
      </c>
      <c r="Q295" s="1" t="str">
        <f>IF(Table2[[#This Row],[GradeClass]]=4,"A",IF(Table2[[#This Row],[GradeClass]]=3,"B",IF(Table2[[#This Row],[GradeClass]]=2,"C",IF(Table2[[#This Row],[GradeClass]]=1,"D","F"))))</f>
        <v>C</v>
      </c>
    </row>
    <row r="296" spans="1:17" x14ac:dyDescent="0.3">
      <c r="A296" s="1">
        <v>1295</v>
      </c>
      <c r="B296" s="1">
        <v>16</v>
      </c>
      <c r="C296" s="1">
        <v>0</v>
      </c>
      <c r="D296" s="1" t="str">
        <f>IF(Table2[[#This Row],[Gender Code]]=1,"Male","Female")</f>
        <v>Female</v>
      </c>
      <c r="E296" s="1">
        <v>0</v>
      </c>
      <c r="F296" s="1">
        <v>2</v>
      </c>
      <c r="G296" s="2">
        <v>16.358083536648699</v>
      </c>
      <c r="H296" s="1">
        <v>3</v>
      </c>
      <c r="I296" s="1">
        <v>0</v>
      </c>
      <c r="J296" s="1">
        <v>4</v>
      </c>
      <c r="K296" s="1">
        <v>0</v>
      </c>
      <c r="L296" s="1">
        <v>0</v>
      </c>
      <c r="M296" s="1">
        <v>0</v>
      </c>
      <c r="N296" s="1">
        <v>0</v>
      </c>
      <c r="O296" s="3">
        <v>3.1012292205041199</v>
      </c>
      <c r="P296" s="1">
        <v>1</v>
      </c>
      <c r="Q296" s="1" t="str">
        <f>IF(Table2[[#This Row],[GradeClass]]=4,"A",IF(Table2[[#This Row],[GradeClass]]=3,"B",IF(Table2[[#This Row],[GradeClass]]=2,"C",IF(Table2[[#This Row],[GradeClass]]=1,"D","F"))))</f>
        <v>D</v>
      </c>
    </row>
    <row r="297" spans="1:17" x14ac:dyDescent="0.3">
      <c r="A297" s="1">
        <v>1296</v>
      </c>
      <c r="B297" s="1">
        <v>18</v>
      </c>
      <c r="C297" s="1">
        <v>1</v>
      </c>
      <c r="D297" s="1" t="str">
        <f>IF(Table2[[#This Row],[Gender Code]]=1,"Male","Female")</f>
        <v>Male</v>
      </c>
      <c r="E297" s="1">
        <v>0</v>
      </c>
      <c r="F297" s="1">
        <v>2</v>
      </c>
      <c r="G297" s="2">
        <v>0.76727722711402202</v>
      </c>
      <c r="H297" s="1">
        <v>24</v>
      </c>
      <c r="I297" s="1">
        <v>0</v>
      </c>
      <c r="J297" s="1">
        <v>4</v>
      </c>
      <c r="K297" s="1">
        <v>0</v>
      </c>
      <c r="L297" s="1">
        <v>0</v>
      </c>
      <c r="M297" s="1">
        <v>1</v>
      </c>
      <c r="N297" s="1">
        <v>0</v>
      </c>
      <c r="O297" s="3">
        <v>0.65595407796267702</v>
      </c>
      <c r="P297" s="1">
        <v>4</v>
      </c>
      <c r="Q297" s="1" t="str">
        <f>IF(Table2[[#This Row],[GradeClass]]=4,"A",IF(Table2[[#This Row],[GradeClass]]=3,"B",IF(Table2[[#This Row],[GradeClass]]=2,"C",IF(Table2[[#This Row],[GradeClass]]=1,"D","F"))))</f>
        <v>A</v>
      </c>
    </row>
    <row r="298" spans="1:17" x14ac:dyDescent="0.3">
      <c r="A298" s="1">
        <v>1297</v>
      </c>
      <c r="B298" s="1">
        <v>16</v>
      </c>
      <c r="C298" s="1">
        <v>0</v>
      </c>
      <c r="D298" s="1" t="str">
        <f>IF(Table2[[#This Row],[Gender Code]]=1,"Male","Female")</f>
        <v>Female</v>
      </c>
      <c r="E298" s="1">
        <v>0</v>
      </c>
      <c r="F298" s="1">
        <v>0</v>
      </c>
      <c r="G298" s="2">
        <v>17.415943446762199</v>
      </c>
      <c r="H298" s="1">
        <v>10</v>
      </c>
      <c r="I298" s="1">
        <v>1</v>
      </c>
      <c r="J298" s="1">
        <v>4</v>
      </c>
      <c r="K298" s="1">
        <v>0</v>
      </c>
      <c r="L298" s="1">
        <v>1</v>
      </c>
      <c r="M298" s="1">
        <v>0</v>
      </c>
      <c r="N298" s="1">
        <v>0</v>
      </c>
      <c r="O298" s="3">
        <v>3.0885123056166699</v>
      </c>
      <c r="P298" s="1">
        <v>1</v>
      </c>
      <c r="Q298" s="1" t="str">
        <f>IF(Table2[[#This Row],[GradeClass]]=4,"A",IF(Table2[[#This Row],[GradeClass]]=3,"B",IF(Table2[[#This Row],[GradeClass]]=2,"C",IF(Table2[[#This Row],[GradeClass]]=1,"D","F"))))</f>
        <v>D</v>
      </c>
    </row>
    <row r="299" spans="1:17" x14ac:dyDescent="0.3">
      <c r="A299" s="1">
        <v>1298</v>
      </c>
      <c r="B299" s="1">
        <v>17</v>
      </c>
      <c r="C299" s="1">
        <v>1</v>
      </c>
      <c r="D299" s="1" t="str">
        <f>IF(Table2[[#This Row],[Gender Code]]=1,"Male","Female")</f>
        <v>Male</v>
      </c>
      <c r="E299" s="1">
        <v>0</v>
      </c>
      <c r="F299" s="1">
        <v>1</v>
      </c>
      <c r="G299" s="2">
        <v>10.254997995878499</v>
      </c>
      <c r="H299" s="1">
        <v>11</v>
      </c>
      <c r="I299" s="1">
        <v>1</v>
      </c>
      <c r="J299" s="1">
        <v>3</v>
      </c>
      <c r="K299" s="1">
        <v>0</v>
      </c>
      <c r="L299" s="1">
        <v>0</v>
      </c>
      <c r="M299" s="1">
        <v>0</v>
      </c>
      <c r="N299" s="1">
        <v>0</v>
      </c>
      <c r="O299" s="3">
        <v>1.99255980548199</v>
      </c>
      <c r="P299" s="1">
        <v>4</v>
      </c>
      <c r="Q299" s="1" t="str">
        <f>IF(Table2[[#This Row],[GradeClass]]=4,"A",IF(Table2[[#This Row],[GradeClass]]=3,"B",IF(Table2[[#This Row],[GradeClass]]=2,"C",IF(Table2[[#This Row],[GradeClass]]=1,"D","F"))))</f>
        <v>A</v>
      </c>
    </row>
    <row r="300" spans="1:17" x14ac:dyDescent="0.3">
      <c r="A300" s="1">
        <v>1299</v>
      </c>
      <c r="B300" s="1">
        <v>15</v>
      </c>
      <c r="C300" s="1">
        <v>1</v>
      </c>
      <c r="D300" s="1" t="str">
        <f>IF(Table2[[#This Row],[Gender Code]]=1,"Male","Female")</f>
        <v>Male</v>
      </c>
      <c r="E300" s="1">
        <v>1</v>
      </c>
      <c r="F300" s="1">
        <v>3</v>
      </c>
      <c r="G300" s="2">
        <v>7.9650046972682498</v>
      </c>
      <c r="H300" s="1">
        <v>13</v>
      </c>
      <c r="I300" s="1">
        <v>1</v>
      </c>
      <c r="J300" s="1">
        <v>3</v>
      </c>
      <c r="K300" s="1">
        <v>0</v>
      </c>
      <c r="L300" s="1">
        <v>1</v>
      </c>
      <c r="M300" s="1">
        <v>0</v>
      </c>
      <c r="N300" s="1">
        <v>0</v>
      </c>
      <c r="O300" s="3">
        <v>2.60524744554785</v>
      </c>
      <c r="P300" s="1">
        <v>2</v>
      </c>
      <c r="Q300" s="1" t="str">
        <f>IF(Table2[[#This Row],[GradeClass]]=4,"A",IF(Table2[[#This Row],[GradeClass]]=3,"B",IF(Table2[[#This Row],[GradeClass]]=2,"C",IF(Table2[[#This Row],[GradeClass]]=1,"D","F"))))</f>
        <v>C</v>
      </c>
    </row>
    <row r="301" spans="1:17" x14ac:dyDescent="0.3">
      <c r="A301" s="1">
        <v>1300</v>
      </c>
      <c r="B301" s="1">
        <v>18</v>
      </c>
      <c r="C301" s="1">
        <v>0</v>
      </c>
      <c r="D301" s="1" t="str">
        <f>IF(Table2[[#This Row],[Gender Code]]=1,"Male","Female")</f>
        <v>Female</v>
      </c>
      <c r="E301" s="1">
        <v>1</v>
      </c>
      <c r="F301" s="1">
        <v>1</v>
      </c>
      <c r="G301" s="2">
        <v>9.94334561435371</v>
      </c>
      <c r="H301" s="1">
        <v>12</v>
      </c>
      <c r="I301" s="1">
        <v>1</v>
      </c>
      <c r="J301" s="1">
        <v>1</v>
      </c>
      <c r="K301" s="1">
        <v>0</v>
      </c>
      <c r="L301" s="1">
        <v>0</v>
      </c>
      <c r="M301" s="1">
        <v>0</v>
      </c>
      <c r="N301" s="1">
        <v>0</v>
      </c>
      <c r="O301" s="3">
        <v>1.73397245423346</v>
      </c>
      <c r="P301" s="1">
        <v>4</v>
      </c>
      <c r="Q301" s="1" t="str">
        <f>IF(Table2[[#This Row],[GradeClass]]=4,"A",IF(Table2[[#This Row],[GradeClass]]=3,"B",IF(Table2[[#This Row],[GradeClass]]=2,"C",IF(Table2[[#This Row],[GradeClass]]=1,"D","F"))))</f>
        <v>A</v>
      </c>
    </row>
    <row r="302" spans="1:17" x14ac:dyDescent="0.3">
      <c r="A302" s="1">
        <v>1301</v>
      </c>
      <c r="B302" s="1">
        <v>15</v>
      </c>
      <c r="C302" s="1">
        <v>1</v>
      </c>
      <c r="D302" s="1" t="str">
        <f>IF(Table2[[#This Row],[Gender Code]]=1,"Male","Female")</f>
        <v>Male</v>
      </c>
      <c r="E302" s="1">
        <v>0</v>
      </c>
      <c r="F302" s="1">
        <v>1</v>
      </c>
      <c r="G302" s="2">
        <v>13.348310610676601</v>
      </c>
      <c r="H302" s="1">
        <v>28</v>
      </c>
      <c r="I302" s="1">
        <v>0</v>
      </c>
      <c r="J302" s="1">
        <v>3</v>
      </c>
      <c r="K302" s="1">
        <v>1</v>
      </c>
      <c r="L302" s="1">
        <v>0</v>
      </c>
      <c r="M302" s="1">
        <v>0</v>
      </c>
      <c r="N302" s="1">
        <v>0</v>
      </c>
      <c r="O302" s="3">
        <v>1.1138487878591199</v>
      </c>
      <c r="P302" s="1">
        <v>4</v>
      </c>
      <c r="Q302" s="1" t="str">
        <f>IF(Table2[[#This Row],[GradeClass]]=4,"A",IF(Table2[[#This Row],[GradeClass]]=3,"B",IF(Table2[[#This Row],[GradeClass]]=2,"C",IF(Table2[[#This Row],[GradeClass]]=1,"D","F"))))</f>
        <v>A</v>
      </c>
    </row>
    <row r="303" spans="1:17" x14ac:dyDescent="0.3">
      <c r="A303" s="1">
        <v>1302</v>
      </c>
      <c r="B303" s="1">
        <v>15</v>
      </c>
      <c r="C303" s="1">
        <v>1</v>
      </c>
      <c r="D303" s="1" t="str">
        <f>IF(Table2[[#This Row],[Gender Code]]=1,"Male","Female")</f>
        <v>Male</v>
      </c>
      <c r="E303" s="1">
        <v>0</v>
      </c>
      <c r="F303" s="1">
        <v>2</v>
      </c>
      <c r="G303" s="2">
        <v>0.25530853035794698</v>
      </c>
      <c r="H303" s="1">
        <v>9</v>
      </c>
      <c r="I303" s="1">
        <v>0</v>
      </c>
      <c r="J303" s="1">
        <v>0</v>
      </c>
      <c r="K303" s="1">
        <v>1</v>
      </c>
      <c r="L303" s="1">
        <v>0</v>
      </c>
      <c r="M303" s="1">
        <v>0</v>
      </c>
      <c r="N303" s="1">
        <v>0</v>
      </c>
      <c r="O303" s="3">
        <v>1.6492502516617999</v>
      </c>
      <c r="P303" s="1">
        <v>4</v>
      </c>
      <c r="Q303" s="1" t="str">
        <f>IF(Table2[[#This Row],[GradeClass]]=4,"A",IF(Table2[[#This Row],[GradeClass]]=3,"B",IF(Table2[[#This Row],[GradeClass]]=2,"C",IF(Table2[[#This Row],[GradeClass]]=1,"D","F"))))</f>
        <v>A</v>
      </c>
    </row>
    <row r="304" spans="1:17" x14ac:dyDescent="0.3">
      <c r="A304" s="1">
        <v>1303</v>
      </c>
      <c r="B304" s="1">
        <v>17</v>
      </c>
      <c r="C304" s="1">
        <v>1</v>
      </c>
      <c r="D304" s="1" t="str">
        <f>IF(Table2[[#This Row],[Gender Code]]=1,"Male","Female")</f>
        <v>Male</v>
      </c>
      <c r="E304" s="1">
        <v>3</v>
      </c>
      <c r="F304" s="1">
        <v>2</v>
      </c>
      <c r="G304" s="2">
        <v>17.431037129164899</v>
      </c>
      <c r="H304" s="1">
        <v>17</v>
      </c>
      <c r="I304" s="1">
        <v>0</v>
      </c>
      <c r="J304" s="1">
        <v>2</v>
      </c>
      <c r="K304" s="1">
        <v>0</v>
      </c>
      <c r="L304" s="1">
        <v>0</v>
      </c>
      <c r="M304" s="1">
        <v>0</v>
      </c>
      <c r="N304" s="1">
        <v>0</v>
      </c>
      <c r="O304" s="3">
        <v>1.3375549802098701</v>
      </c>
      <c r="P304" s="1">
        <v>4</v>
      </c>
      <c r="Q304" s="1" t="str">
        <f>IF(Table2[[#This Row],[GradeClass]]=4,"A",IF(Table2[[#This Row],[GradeClass]]=3,"B",IF(Table2[[#This Row],[GradeClass]]=2,"C",IF(Table2[[#This Row],[GradeClass]]=1,"D","F"))))</f>
        <v>A</v>
      </c>
    </row>
    <row r="305" spans="1:17" x14ac:dyDescent="0.3">
      <c r="A305" s="1">
        <v>1304</v>
      </c>
      <c r="B305" s="1">
        <v>16</v>
      </c>
      <c r="C305" s="1">
        <v>1</v>
      </c>
      <c r="D305" s="1" t="str">
        <f>IF(Table2[[#This Row],[Gender Code]]=1,"Male","Female")</f>
        <v>Male</v>
      </c>
      <c r="E305" s="1">
        <v>1</v>
      </c>
      <c r="F305" s="1">
        <v>0</v>
      </c>
      <c r="G305" s="2">
        <v>8.9347905062278503</v>
      </c>
      <c r="H305" s="1">
        <v>15</v>
      </c>
      <c r="I305" s="1">
        <v>0</v>
      </c>
      <c r="J305" s="1">
        <v>4</v>
      </c>
      <c r="K305" s="1">
        <v>0</v>
      </c>
      <c r="L305" s="1">
        <v>0</v>
      </c>
      <c r="M305" s="1">
        <v>0</v>
      </c>
      <c r="N305" s="1">
        <v>0</v>
      </c>
      <c r="O305" s="3">
        <v>1.9846599185571701</v>
      </c>
      <c r="P305" s="1">
        <v>4</v>
      </c>
      <c r="Q305" s="1" t="str">
        <f>IF(Table2[[#This Row],[GradeClass]]=4,"A",IF(Table2[[#This Row],[GradeClass]]=3,"B",IF(Table2[[#This Row],[GradeClass]]=2,"C",IF(Table2[[#This Row],[GradeClass]]=1,"D","F"))))</f>
        <v>A</v>
      </c>
    </row>
    <row r="306" spans="1:17" x14ac:dyDescent="0.3">
      <c r="A306" s="1">
        <v>1305</v>
      </c>
      <c r="B306" s="1">
        <v>16</v>
      </c>
      <c r="C306" s="1">
        <v>1</v>
      </c>
      <c r="D306" s="1" t="str">
        <f>IF(Table2[[#This Row],[Gender Code]]=1,"Male","Female")</f>
        <v>Male</v>
      </c>
      <c r="E306" s="1">
        <v>1</v>
      </c>
      <c r="F306" s="1">
        <v>2</v>
      </c>
      <c r="G306" s="2">
        <v>6.8593303940015602</v>
      </c>
      <c r="H306" s="1">
        <v>4</v>
      </c>
      <c r="I306" s="1">
        <v>0</v>
      </c>
      <c r="J306" s="1">
        <v>2</v>
      </c>
      <c r="K306" s="1">
        <v>0</v>
      </c>
      <c r="L306" s="1">
        <v>1</v>
      </c>
      <c r="M306" s="1">
        <v>1</v>
      </c>
      <c r="N306" s="1">
        <v>0</v>
      </c>
      <c r="O306" s="3">
        <v>3.0608816559669401</v>
      </c>
      <c r="P306" s="1">
        <v>1</v>
      </c>
      <c r="Q306" s="1" t="str">
        <f>IF(Table2[[#This Row],[GradeClass]]=4,"A",IF(Table2[[#This Row],[GradeClass]]=3,"B",IF(Table2[[#This Row],[GradeClass]]=2,"C",IF(Table2[[#This Row],[GradeClass]]=1,"D","F"))))</f>
        <v>D</v>
      </c>
    </row>
    <row r="307" spans="1:17" x14ac:dyDescent="0.3">
      <c r="A307" s="1">
        <v>1306</v>
      </c>
      <c r="B307" s="1">
        <v>15</v>
      </c>
      <c r="C307" s="1">
        <v>1</v>
      </c>
      <c r="D307" s="1" t="str">
        <f>IF(Table2[[#This Row],[Gender Code]]=1,"Male","Female")</f>
        <v>Male</v>
      </c>
      <c r="E307" s="1">
        <v>0</v>
      </c>
      <c r="F307" s="1">
        <v>1</v>
      </c>
      <c r="G307" s="2">
        <v>2.7649113126811402</v>
      </c>
      <c r="H307" s="1">
        <v>7</v>
      </c>
      <c r="I307" s="1">
        <v>1</v>
      </c>
      <c r="J307" s="1">
        <v>1</v>
      </c>
      <c r="K307" s="1">
        <v>0</v>
      </c>
      <c r="L307" s="1">
        <v>0</v>
      </c>
      <c r="M307" s="1">
        <v>0</v>
      </c>
      <c r="N307" s="1">
        <v>0</v>
      </c>
      <c r="O307" s="3">
        <v>2.392897358425</v>
      </c>
      <c r="P307" s="1">
        <v>3</v>
      </c>
      <c r="Q307" s="1" t="str">
        <f>IF(Table2[[#This Row],[GradeClass]]=4,"A",IF(Table2[[#This Row],[GradeClass]]=3,"B",IF(Table2[[#This Row],[GradeClass]]=2,"C",IF(Table2[[#This Row],[GradeClass]]=1,"D","F"))))</f>
        <v>B</v>
      </c>
    </row>
    <row r="308" spans="1:17" x14ac:dyDescent="0.3">
      <c r="A308" s="1">
        <v>1307</v>
      </c>
      <c r="B308" s="1">
        <v>18</v>
      </c>
      <c r="C308" s="1">
        <v>1</v>
      </c>
      <c r="D308" s="1" t="str">
        <f>IF(Table2[[#This Row],[Gender Code]]=1,"Male","Female")</f>
        <v>Male</v>
      </c>
      <c r="E308" s="1">
        <v>2</v>
      </c>
      <c r="F308" s="1">
        <v>0</v>
      </c>
      <c r="G308" s="2">
        <v>8.7893074871688395</v>
      </c>
      <c r="H308" s="1">
        <v>13</v>
      </c>
      <c r="I308" s="1">
        <v>0</v>
      </c>
      <c r="J308" s="1">
        <v>4</v>
      </c>
      <c r="K308" s="1">
        <v>0</v>
      </c>
      <c r="L308" s="1">
        <v>0</v>
      </c>
      <c r="M308" s="1">
        <v>0</v>
      </c>
      <c r="N308" s="1">
        <v>0</v>
      </c>
      <c r="O308" s="3">
        <v>2.0837969900967899</v>
      </c>
      <c r="P308" s="1">
        <v>3</v>
      </c>
      <c r="Q308" s="1" t="str">
        <f>IF(Table2[[#This Row],[GradeClass]]=4,"A",IF(Table2[[#This Row],[GradeClass]]=3,"B",IF(Table2[[#This Row],[GradeClass]]=2,"C",IF(Table2[[#This Row],[GradeClass]]=1,"D","F"))))</f>
        <v>B</v>
      </c>
    </row>
    <row r="309" spans="1:17" x14ac:dyDescent="0.3">
      <c r="A309" s="1">
        <v>1308</v>
      </c>
      <c r="B309" s="1">
        <v>16</v>
      </c>
      <c r="C309" s="1">
        <v>1</v>
      </c>
      <c r="D309" s="1" t="str">
        <f>IF(Table2[[#This Row],[Gender Code]]=1,"Male","Female")</f>
        <v>Male</v>
      </c>
      <c r="E309" s="1">
        <v>2</v>
      </c>
      <c r="F309" s="1">
        <v>0</v>
      </c>
      <c r="G309" s="2">
        <v>9.9264554256875694</v>
      </c>
      <c r="H309" s="1">
        <v>4</v>
      </c>
      <c r="I309" s="1">
        <v>0</v>
      </c>
      <c r="J309" s="1">
        <v>4</v>
      </c>
      <c r="K309" s="1">
        <v>0</v>
      </c>
      <c r="L309" s="1">
        <v>1</v>
      </c>
      <c r="M309" s="1">
        <v>0</v>
      </c>
      <c r="N309" s="1">
        <v>1</v>
      </c>
      <c r="O309" s="3">
        <v>3.6457380487704398</v>
      </c>
      <c r="P309" s="1">
        <v>0</v>
      </c>
      <c r="Q309" s="1" t="str">
        <f>IF(Table2[[#This Row],[GradeClass]]=4,"A",IF(Table2[[#This Row],[GradeClass]]=3,"B",IF(Table2[[#This Row],[GradeClass]]=2,"C",IF(Table2[[#This Row],[GradeClass]]=1,"D","F"))))</f>
        <v>F</v>
      </c>
    </row>
    <row r="310" spans="1:17" x14ac:dyDescent="0.3">
      <c r="A310" s="1">
        <v>1309</v>
      </c>
      <c r="B310" s="1">
        <v>18</v>
      </c>
      <c r="C310" s="1">
        <v>0</v>
      </c>
      <c r="D310" s="1" t="str">
        <f>IF(Table2[[#This Row],[Gender Code]]=1,"Male","Female")</f>
        <v>Female</v>
      </c>
      <c r="E310" s="1">
        <v>1</v>
      </c>
      <c r="F310" s="1">
        <v>3</v>
      </c>
      <c r="G310" s="2">
        <v>8.0729338898695495</v>
      </c>
      <c r="H310" s="1">
        <v>25</v>
      </c>
      <c r="I310" s="1">
        <v>0</v>
      </c>
      <c r="J310" s="1">
        <v>1</v>
      </c>
      <c r="K310" s="1">
        <v>1</v>
      </c>
      <c r="L310" s="1">
        <v>0</v>
      </c>
      <c r="M310" s="1">
        <v>0</v>
      </c>
      <c r="N310" s="1">
        <v>0</v>
      </c>
      <c r="O310" s="3">
        <v>0.32228608162540701</v>
      </c>
      <c r="P310" s="1">
        <v>4</v>
      </c>
      <c r="Q310" s="1" t="str">
        <f>IF(Table2[[#This Row],[GradeClass]]=4,"A",IF(Table2[[#This Row],[GradeClass]]=3,"B",IF(Table2[[#This Row],[GradeClass]]=2,"C",IF(Table2[[#This Row],[GradeClass]]=1,"D","F"))))</f>
        <v>A</v>
      </c>
    </row>
    <row r="311" spans="1:17" x14ac:dyDescent="0.3">
      <c r="A311" s="1">
        <v>1310</v>
      </c>
      <c r="B311" s="1">
        <v>16</v>
      </c>
      <c r="C311" s="1">
        <v>0</v>
      </c>
      <c r="D311" s="1" t="str">
        <f>IF(Table2[[#This Row],[Gender Code]]=1,"Male","Female")</f>
        <v>Female</v>
      </c>
      <c r="E311" s="1">
        <v>3</v>
      </c>
      <c r="F311" s="1">
        <v>1</v>
      </c>
      <c r="G311" s="2">
        <v>13.573201876537899</v>
      </c>
      <c r="H311" s="1">
        <v>27</v>
      </c>
      <c r="I311" s="1">
        <v>0</v>
      </c>
      <c r="J311" s="1">
        <v>3</v>
      </c>
      <c r="K311" s="1">
        <v>0</v>
      </c>
      <c r="L311" s="1">
        <v>1</v>
      </c>
      <c r="M311" s="1">
        <v>0</v>
      </c>
      <c r="N311" s="1">
        <v>0</v>
      </c>
      <c r="O311" s="3">
        <v>1.1295143343615399</v>
      </c>
      <c r="P311" s="1">
        <v>4</v>
      </c>
      <c r="Q311" s="1" t="str">
        <f>IF(Table2[[#This Row],[GradeClass]]=4,"A",IF(Table2[[#This Row],[GradeClass]]=3,"B",IF(Table2[[#This Row],[GradeClass]]=2,"C",IF(Table2[[#This Row],[GradeClass]]=1,"D","F"))))</f>
        <v>A</v>
      </c>
    </row>
    <row r="312" spans="1:17" x14ac:dyDescent="0.3">
      <c r="A312" s="1">
        <v>1311</v>
      </c>
      <c r="B312" s="1">
        <v>18</v>
      </c>
      <c r="C312" s="1">
        <v>1</v>
      </c>
      <c r="D312" s="1" t="str">
        <f>IF(Table2[[#This Row],[Gender Code]]=1,"Male","Female")</f>
        <v>Male</v>
      </c>
      <c r="E312" s="1">
        <v>0</v>
      </c>
      <c r="F312" s="1">
        <v>0</v>
      </c>
      <c r="G312" s="2">
        <v>8.4179305751845206</v>
      </c>
      <c r="H312" s="1">
        <v>23</v>
      </c>
      <c r="I312" s="1">
        <v>0</v>
      </c>
      <c r="J312" s="1">
        <v>2</v>
      </c>
      <c r="K312" s="1">
        <v>1</v>
      </c>
      <c r="L312" s="1">
        <v>0</v>
      </c>
      <c r="M312" s="1">
        <v>0</v>
      </c>
      <c r="N312" s="1">
        <v>0</v>
      </c>
      <c r="O312" s="3">
        <v>0.63075694386661096</v>
      </c>
      <c r="P312" s="1">
        <v>4</v>
      </c>
      <c r="Q312" s="1" t="str">
        <f>IF(Table2[[#This Row],[GradeClass]]=4,"A",IF(Table2[[#This Row],[GradeClass]]=3,"B",IF(Table2[[#This Row],[GradeClass]]=2,"C",IF(Table2[[#This Row],[GradeClass]]=1,"D","F"))))</f>
        <v>A</v>
      </c>
    </row>
    <row r="313" spans="1:17" x14ac:dyDescent="0.3">
      <c r="A313" s="1">
        <v>1312</v>
      </c>
      <c r="B313" s="1">
        <v>17</v>
      </c>
      <c r="C313" s="1">
        <v>0</v>
      </c>
      <c r="D313" s="1" t="str">
        <f>IF(Table2[[#This Row],[Gender Code]]=1,"Male","Female")</f>
        <v>Female</v>
      </c>
      <c r="E313" s="1">
        <v>0</v>
      </c>
      <c r="F313" s="1">
        <v>2</v>
      </c>
      <c r="G313" s="2">
        <v>19.228351556931401</v>
      </c>
      <c r="H313" s="1">
        <v>7</v>
      </c>
      <c r="I313" s="1">
        <v>0</v>
      </c>
      <c r="J313" s="1">
        <v>2</v>
      </c>
      <c r="K313" s="1">
        <v>0</v>
      </c>
      <c r="L313" s="1">
        <v>0</v>
      </c>
      <c r="M313" s="1">
        <v>1</v>
      </c>
      <c r="N313" s="1">
        <v>1</v>
      </c>
      <c r="O313" s="3">
        <v>3.1572296388040901</v>
      </c>
      <c r="P313" s="1">
        <v>1</v>
      </c>
      <c r="Q313" s="1" t="str">
        <f>IF(Table2[[#This Row],[GradeClass]]=4,"A",IF(Table2[[#This Row],[GradeClass]]=3,"B",IF(Table2[[#This Row],[GradeClass]]=2,"C",IF(Table2[[#This Row],[GradeClass]]=1,"D","F"))))</f>
        <v>D</v>
      </c>
    </row>
    <row r="314" spans="1:17" x14ac:dyDescent="0.3">
      <c r="A314" s="1">
        <v>1313</v>
      </c>
      <c r="B314" s="1">
        <v>18</v>
      </c>
      <c r="C314" s="1">
        <v>1</v>
      </c>
      <c r="D314" s="1" t="str">
        <f>IF(Table2[[#This Row],[Gender Code]]=1,"Male","Female")</f>
        <v>Male</v>
      </c>
      <c r="E314" s="1">
        <v>2</v>
      </c>
      <c r="F314" s="1">
        <v>3</v>
      </c>
      <c r="G314" s="2">
        <v>11.9855503564718</v>
      </c>
      <c r="H314" s="1">
        <v>24</v>
      </c>
      <c r="I314" s="1">
        <v>0</v>
      </c>
      <c r="J314" s="1">
        <v>1</v>
      </c>
      <c r="K314" s="1">
        <v>0</v>
      </c>
      <c r="L314" s="1">
        <v>0</v>
      </c>
      <c r="M314" s="1">
        <v>0</v>
      </c>
      <c r="N314" s="1">
        <v>0</v>
      </c>
      <c r="O314" s="3">
        <v>0.680087787496653</v>
      </c>
      <c r="P314" s="1">
        <v>4</v>
      </c>
      <c r="Q314" s="1" t="str">
        <f>IF(Table2[[#This Row],[GradeClass]]=4,"A",IF(Table2[[#This Row],[GradeClass]]=3,"B",IF(Table2[[#This Row],[GradeClass]]=2,"C",IF(Table2[[#This Row],[GradeClass]]=1,"D","F"))))</f>
        <v>A</v>
      </c>
    </row>
    <row r="315" spans="1:17" x14ac:dyDescent="0.3">
      <c r="A315" s="1">
        <v>1314</v>
      </c>
      <c r="B315" s="1">
        <v>17</v>
      </c>
      <c r="C315" s="1">
        <v>1</v>
      </c>
      <c r="D315" s="1" t="str">
        <f>IF(Table2[[#This Row],[Gender Code]]=1,"Male","Female")</f>
        <v>Male</v>
      </c>
      <c r="E315" s="1">
        <v>2</v>
      </c>
      <c r="F315" s="1">
        <v>1</v>
      </c>
      <c r="G315" s="2">
        <v>16.1495587130381</v>
      </c>
      <c r="H315" s="1">
        <v>25</v>
      </c>
      <c r="I315" s="1">
        <v>0</v>
      </c>
      <c r="J315" s="1">
        <v>0</v>
      </c>
      <c r="K315" s="1">
        <v>0</v>
      </c>
      <c r="L315" s="1">
        <v>0</v>
      </c>
      <c r="M315" s="1">
        <v>0</v>
      </c>
      <c r="N315" s="1">
        <v>0</v>
      </c>
      <c r="O315" s="3">
        <v>0.79635984788664704</v>
      </c>
      <c r="P315" s="1">
        <v>4</v>
      </c>
      <c r="Q315" s="1" t="str">
        <f>IF(Table2[[#This Row],[GradeClass]]=4,"A",IF(Table2[[#This Row],[GradeClass]]=3,"B",IF(Table2[[#This Row],[GradeClass]]=2,"C",IF(Table2[[#This Row],[GradeClass]]=1,"D","F"))))</f>
        <v>A</v>
      </c>
    </row>
    <row r="316" spans="1:17" x14ac:dyDescent="0.3">
      <c r="A316" s="1">
        <v>1315</v>
      </c>
      <c r="B316" s="1">
        <v>17</v>
      </c>
      <c r="C316" s="1">
        <v>0</v>
      </c>
      <c r="D316" s="1" t="str">
        <f>IF(Table2[[#This Row],[Gender Code]]=1,"Male","Female")</f>
        <v>Female</v>
      </c>
      <c r="E316" s="1">
        <v>0</v>
      </c>
      <c r="F316" s="1">
        <v>2</v>
      </c>
      <c r="G316" s="2">
        <v>2.1871180621895698</v>
      </c>
      <c r="H316" s="1">
        <v>5</v>
      </c>
      <c r="I316" s="1">
        <v>1</v>
      </c>
      <c r="J316" s="1">
        <v>1</v>
      </c>
      <c r="K316" s="1">
        <v>0</v>
      </c>
      <c r="L316" s="1">
        <v>1</v>
      </c>
      <c r="M316" s="1">
        <v>0</v>
      </c>
      <c r="N316" s="1">
        <v>0</v>
      </c>
      <c r="O316" s="3">
        <v>2.8440392149255902</v>
      </c>
      <c r="P316" s="1">
        <v>2</v>
      </c>
      <c r="Q316" s="1" t="str">
        <f>IF(Table2[[#This Row],[GradeClass]]=4,"A",IF(Table2[[#This Row],[GradeClass]]=3,"B",IF(Table2[[#This Row],[GradeClass]]=2,"C",IF(Table2[[#This Row],[GradeClass]]=1,"D","F"))))</f>
        <v>C</v>
      </c>
    </row>
    <row r="317" spans="1:17" x14ac:dyDescent="0.3">
      <c r="A317" s="1">
        <v>1316</v>
      </c>
      <c r="B317" s="1">
        <v>18</v>
      </c>
      <c r="C317" s="1">
        <v>1</v>
      </c>
      <c r="D317" s="1" t="str">
        <f>IF(Table2[[#This Row],[Gender Code]]=1,"Male","Female")</f>
        <v>Male</v>
      </c>
      <c r="E317" s="1">
        <v>0</v>
      </c>
      <c r="F317" s="1">
        <v>0</v>
      </c>
      <c r="G317" s="2">
        <v>7.9458258589181101</v>
      </c>
      <c r="H317" s="1">
        <v>15</v>
      </c>
      <c r="I317" s="1">
        <v>1</v>
      </c>
      <c r="J317" s="1">
        <v>0</v>
      </c>
      <c r="K317" s="1">
        <v>0</v>
      </c>
      <c r="L317" s="1">
        <v>1</v>
      </c>
      <c r="M317" s="1">
        <v>0</v>
      </c>
      <c r="N317" s="1">
        <v>0</v>
      </c>
      <c r="O317" s="3">
        <v>1.2534518542158499</v>
      </c>
      <c r="P317" s="1">
        <v>4</v>
      </c>
      <c r="Q317" s="1" t="str">
        <f>IF(Table2[[#This Row],[GradeClass]]=4,"A",IF(Table2[[#This Row],[GradeClass]]=3,"B",IF(Table2[[#This Row],[GradeClass]]=2,"C",IF(Table2[[#This Row],[GradeClass]]=1,"D","F"))))</f>
        <v>A</v>
      </c>
    </row>
    <row r="318" spans="1:17" x14ac:dyDescent="0.3">
      <c r="A318" s="1">
        <v>1317</v>
      </c>
      <c r="B318" s="1">
        <v>17</v>
      </c>
      <c r="C318" s="1">
        <v>1</v>
      </c>
      <c r="D318" s="1" t="str">
        <f>IF(Table2[[#This Row],[Gender Code]]=1,"Male","Female")</f>
        <v>Male</v>
      </c>
      <c r="E318" s="1">
        <v>0</v>
      </c>
      <c r="F318" s="1">
        <v>2</v>
      </c>
      <c r="G318" s="2">
        <v>6.7369540289430496</v>
      </c>
      <c r="H318" s="1">
        <v>27</v>
      </c>
      <c r="I318" s="1">
        <v>0</v>
      </c>
      <c r="J318" s="1">
        <v>4</v>
      </c>
      <c r="K318" s="1">
        <v>0</v>
      </c>
      <c r="L318" s="1">
        <v>0</v>
      </c>
      <c r="M318" s="1">
        <v>0</v>
      </c>
      <c r="N318" s="1">
        <v>0</v>
      </c>
      <c r="O318" s="3">
        <v>0.53450888053885603</v>
      </c>
      <c r="P318" s="1">
        <v>4</v>
      </c>
      <c r="Q318" s="1" t="str">
        <f>IF(Table2[[#This Row],[GradeClass]]=4,"A",IF(Table2[[#This Row],[GradeClass]]=3,"B",IF(Table2[[#This Row],[GradeClass]]=2,"C",IF(Table2[[#This Row],[GradeClass]]=1,"D","F"))))</f>
        <v>A</v>
      </c>
    </row>
    <row r="319" spans="1:17" x14ac:dyDescent="0.3">
      <c r="A319" s="1">
        <v>1318</v>
      </c>
      <c r="B319" s="1">
        <v>15</v>
      </c>
      <c r="C319" s="1">
        <v>1</v>
      </c>
      <c r="D319" s="1" t="str">
        <f>IF(Table2[[#This Row],[Gender Code]]=1,"Male","Female")</f>
        <v>Male</v>
      </c>
      <c r="E319" s="1">
        <v>0</v>
      </c>
      <c r="F319" s="1">
        <v>2</v>
      </c>
      <c r="G319" s="2">
        <v>11.3896477627318</v>
      </c>
      <c r="H319" s="1">
        <v>3</v>
      </c>
      <c r="I319" s="1">
        <v>1</v>
      </c>
      <c r="J319" s="1">
        <v>3</v>
      </c>
      <c r="K319" s="1">
        <v>1</v>
      </c>
      <c r="L319" s="1">
        <v>0</v>
      </c>
      <c r="M319" s="1">
        <v>0</v>
      </c>
      <c r="N319" s="1">
        <v>0</v>
      </c>
      <c r="O319" s="3">
        <v>3.1910461182199099</v>
      </c>
      <c r="P319" s="1">
        <v>1</v>
      </c>
      <c r="Q319" s="1" t="str">
        <f>IF(Table2[[#This Row],[GradeClass]]=4,"A",IF(Table2[[#This Row],[GradeClass]]=3,"B",IF(Table2[[#This Row],[GradeClass]]=2,"C",IF(Table2[[#This Row],[GradeClass]]=1,"D","F"))))</f>
        <v>D</v>
      </c>
    </row>
    <row r="320" spans="1:17" x14ac:dyDescent="0.3">
      <c r="A320" s="1">
        <v>1319</v>
      </c>
      <c r="B320" s="1">
        <v>17</v>
      </c>
      <c r="C320" s="1">
        <v>1</v>
      </c>
      <c r="D320" s="1" t="str">
        <f>IF(Table2[[#This Row],[Gender Code]]=1,"Male","Female")</f>
        <v>Male</v>
      </c>
      <c r="E320" s="1">
        <v>2</v>
      </c>
      <c r="F320" s="1">
        <v>2</v>
      </c>
      <c r="G320" s="2">
        <v>17.222270401228499</v>
      </c>
      <c r="H320" s="1">
        <v>11</v>
      </c>
      <c r="I320" s="1">
        <v>0</v>
      </c>
      <c r="J320" s="1">
        <v>3</v>
      </c>
      <c r="K320" s="1">
        <v>0</v>
      </c>
      <c r="L320" s="1">
        <v>0</v>
      </c>
      <c r="M320" s="1">
        <v>1</v>
      </c>
      <c r="N320" s="1">
        <v>0</v>
      </c>
      <c r="O320" s="3">
        <v>2.8154212753091099</v>
      </c>
      <c r="P320" s="1">
        <v>2</v>
      </c>
      <c r="Q320" s="1" t="str">
        <f>IF(Table2[[#This Row],[GradeClass]]=4,"A",IF(Table2[[#This Row],[GradeClass]]=3,"B",IF(Table2[[#This Row],[GradeClass]]=2,"C",IF(Table2[[#This Row],[GradeClass]]=1,"D","F"))))</f>
        <v>C</v>
      </c>
    </row>
    <row r="321" spans="1:17" x14ac:dyDescent="0.3">
      <c r="A321" s="1">
        <v>1320</v>
      </c>
      <c r="B321" s="1">
        <v>16</v>
      </c>
      <c r="C321" s="1">
        <v>0</v>
      </c>
      <c r="D321" s="1" t="str">
        <f>IF(Table2[[#This Row],[Gender Code]]=1,"Male","Female")</f>
        <v>Female</v>
      </c>
      <c r="E321" s="1">
        <v>1</v>
      </c>
      <c r="F321" s="1">
        <v>1</v>
      </c>
      <c r="G321" s="2">
        <v>1.56676435524013</v>
      </c>
      <c r="H321" s="1">
        <v>10</v>
      </c>
      <c r="I321" s="1">
        <v>0</v>
      </c>
      <c r="J321" s="1">
        <v>3</v>
      </c>
      <c r="K321" s="1">
        <v>0</v>
      </c>
      <c r="L321" s="1">
        <v>0</v>
      </c>
      <c r="M321" s="1">
        <v>0</v>
      </c>
      <c r="N321" s="1">
        <v>0</v>
      </c>
      <c r="O321" s="3">
        <v>2.1571223032650901</v>
      </c>
      <c r="P321" s="1">
        <v>3</v>
      </c>
      <c r="Q321" s="1" t="str">
        <f>IF(Table2[[#This Row],[GradeClass]]=4,"A",IF(Table2[[#This Row],[GradeClass]]=3,"B",IF(Table2[[#This Row],[GradeClass]]=2,"C",IF(Table2[[#This Row],[GradeClass]]=1,"D","F"))))</f>
        <v>B</v>
      </c>
    </row>
    <row r="322" spans="1:17" x14ac:dyDescent="0.3">
      <c r="A322" s="1">
        <v>1321</v>
      </c>
      <c r="B322" s="1">
        <v>18</v>
      </c>
      <c r="C322" s="1">
        <v>1</v>
      </c>
      <c r="D322" s="1" t="str">
        <f>IF(Table2[[#This Row],[Gender Code]]=1,"Male","Female")</f>
        <v>Male</v>
      </c>
      <c r="E322" s="1">
        <v>0</v>
      </c>
      <c r="F322" s="1">
        <v>1</v>
      </c>
      <c r="G322" s="2">
        <v>1.45149596089421</v>
      </c>
      <c r="H322" s="1">
        <v>2</v>
      </c>
      <c r="I322" s="1">
        <v>0</v>
      </c>
      <c r="J322" s="1">
        <v>1</v>
      </c>
      <c r="K322" s="1">
        <v>1</v>
      </c>
      <c r="L322" s="1">
        <v>0</v>
      </c>
      <c r="M322" s="1">
        <v>0</v>
      </c>
      <c r="N322" s="1">
        <v>0</v>
      </c>
      <c r="O322" s="3">
        <v>2.7238280604010598</v>
      </c>
      <c r="P322" s="1">
        <v>2</v>
      </c>
      <c r="Q322" s="1" t="str">
        <f>IF(Table2[[#This Row],[GradeClass]]=4,"A",IF(Table2[[#This Row],[GradeClass]]=3,"B",IF(Table2[[#This Row],[GradeClass]]=2,"C",IF(Table2[[#This Row],[GradeClass]]=1,"D","F"))))</f>
        <v>C</v>
      </c>
    </row>
    <row r="323" spans="1:17" x14ac:dyDescent="0.3">
      <c r="A323" s="1">
        <v>1322</v>
      </c>
      <c r="B323" s="1">
        <v>15</v>
      </c>
      <c r="C323" s="1">
        <v>1</v>
      </c>
      <c r="D323" s="1" t="str">
        <f>IF(Table2[[#This Row],[Gender Code]]=1,"Male","Female")</f>
        <v>Male</v>
      </c>
      <c r="E323" s="1">
        <v>0</v>
      </c>
      <c r="F323" s="1">
        <v>1</v>
      </c>
      <c r="G323" s="2">
        <v>17.006354163151901</v>
      </c>
      <c r="H323" s="1">
        <v>11</v>
      </c>
      <c r="I323" s="1">
        <v>0</v>
      </c>
      <c r="J323" s="1">
        <v>4</v>
      </c>
      <c r="K323" s="1">
        <v>1</v>
      </c>
      <c r="L323" s="1">
        <v>0</v>
      </c>
      <c r="M323" s="1">
        <v>0</v>
      </c>
      <c r="N323" s="1">
        <v>0</v>
      </c>
      <c r="O323" s="3">
        <v>2.6276939055543398</v>
      </c>
      <c r="P323" s="1">
        <v>2</v>
      </c>
      <c r="Q323" s="1" t="str">
        <f>IF(Table2[[#This Row],[GradeClass]]=4,"A",IF(Table2[[#This Row],[GradeClass]]=3,"B",IF(Table2[[#This Row],[GradeClass]]=2,"C",IF(Table2[[#This Row],[GradeClass]]=1,"D","F"))))</f>
        <v>C</v>
      </c>
    </row>
    <row r="324" spans="1:17" x14ac:dyDescent="0.3">
      <c r="A324" s="1">
        <v>1323</v>
      </c>
      <c r="B324" s="1">
        <v>18</v>
      </c>
      <c r="C324" s="1">
        <v>1</v>
      </c>
      <c r="D324" s="1" t="str">
        <f>IF(Table2[[#This Row],[Gender Code]]=1,"Male","Female")</f>
        <v>Male</v>
      </c>
      <c r="E324" s="1">
        <v>0</v>
      </c>
      <c r="F324" s="1">
        <v>1</v>
      </c>
      <c r="G324" s="2">
        <v>4.25700172076714</v>
      </c>
      <c r="H324" s="1">
        <v>29</v>
      </c>
      <c r="I324" s="1">
        <v>1</v>
      </c>
      <c r="J324" s="1">
        <v>3</v>
      </c>
      <c r="K324" s="1">
        <v>1</v>
      </c>
      <c r="L324" s="1">
        <v>1</v>
      </c>
      <c r="M324" s="1">
        <v>0</v>
      </c>
      <c r="N324" s="1">
        <v>0</v>
      </c>
      <c r="O324" s="3">
        <v>0.91241562083542505</v>
      </c>
      <c r="P324" s="1">
        <v>4</v>
      </c>
      <c r="Q324" s="1" t="str">
        <f>IF(Table2[[#This Row],[GradeClass]]=4,"A",IF(Table2[[#This Row],[GradeClass]]=3,"B",IF(Table2[[#This Row],[GradeClass]]=2,"C",IF(Table2[[#This Row],[GradeClass]]=1,"D","F"))))</f>
        <v>A</v>
      </c>
    </row>
    <row r="325" spans="1:17" x14ac:dyDescent="0.3">
      <c r="A325" s="1">
        <v>1324</v>
      </c>
      <c r="B325" s="1">
        <v>16</v>
      </c>
      <c r="C325" s="1">
        <v>0</v>
      </c>
      <c r="D325" s="1" t="str">
        <f>IF(Table2[[#This Row],[Gender Code]]=1,"Male","Female")</f>
        <v>Female</v>
      </c>
      <c r="E325" s="1">
        <v>0</v>
      </c>
      <c r="F325" s="1">
        <v>0</v>
      </c>
      <c r="G325" s="2">
        <v>13.3750650889962</v>
      </c>
      <c r="H325" s="1">
        <v>4</v>
      </c>
      <c r="I325" s="1">
        <v>0</v>
      </c>
      <c r="J325" s="1">
        <v>2</v>
      </c>
      <c r="K325" s="1">
        <v>0</v>
      </c>
      <c r="L325" s="1">
        <v>0</v>
      </c>
      <c r="M325" s="1">
        <v>0</v>
      </c>
      <c r="N325" s="1">
        <v>0</v>
      </c>
      <c r="O325" s="3">
        <v>2.6096230818174502</v>
      </c>
      <c r="P325" s="1">
        <v>2</v>
      </c>
      <c r="Q325" s="1" t="str">
        <f>IF(Table2[[#This Row],[GradeClass]]=4,"A",IF(Table2[[#This Row],[GradeClass]]=3,"B",IF(Table2[[#This Row],[GradeClass]]=2,"C",IF(Table2[[#This Row],[GradeClass]]=1,"D","F"))))</f>
        <v>C</v>
      </c>
    </row>
    <row r="326" spans="1:17" x14ac:dyDescent="0.3">
      <c r="A326" s="1">
        <v>1325</v>
      </c>
      <c r="B326" s="1">
        <v>16</v>
      </c>
      <c r="C326" s="1">
        <v>1</v>
      </c>
      <c r="D326" s="1" t="str">
        <f>IF(Table2[[#This Row],[Gender Code]]=1,"Male","Female")</f>
        <v>Male</v>
      </c>
      <c r="E326" s="1">
        <v>1</v>
      </c>
      <c r="F326" s="1">
        <v>2</v>
      </c>
      <c r="G326" s="2">
        <v>10.857562647216101</v>
      </c>
      <c r="H326" s="1">
        <v>5</v>
      </c>
      <c r="I326" s="1">
        <v>1</v>
      </c>
      <c r="J326" s="1">
        <v>1</v>
      </c>
      <c r="K326" s="1">
        <v>0</v>
      </c>
      <c r="L326" s="1">
        <v>1</v>
      </c>
      <c r="M326" s="1">
        <v>0</v>
      </c>
      <c r="N326" s="1">
        <v>0</v>
      </c>
      <c r="O326" s="3">
        <v>2.98199225540615</v>
      </c>
      <c r="P326" s="1">
        <v>2</v>
      </c>
      <c r="Q326" s="1" t="str">
        <f>IF(Table2[[#This Row],[GradeClass]]=4,"A",IF(Table2[[#This Row],[GradeClass]]=3,"B",IF(Table2[[#This Row],[GradeClass]]=2,"C",IF(Table2[[#This Row],[GradeClass]]=1,"D","F"))))</f>
        <v>C</v>
      </c>
    </row>
    <row r="327" spans="1:17" x14ac:dyDescent="0.3">
      <c r="A327" s="1">
        <v>1326</v>
      </c>
      <c r="B327" s="1">
        <v>16</v>
      </c>
      <c r="C327" s="1">
        <v>0</v>
      </c>
      <c r="D327" s="1" t="str">
        <f>IF(Table2[[#This Row],[Gender Code]]=1,"Male","Female")</f>
        <v>Female</v>
      </c>
      <c r="E327" s="1">
        <v>3</v>
      </c>
      <c r="F327" s="1">
        <v>4</v>
      </c>
      <c r="G327" s="2">
        <v>16.657871897744499</v>
      </c>
      <c r="H327" s="1">
        <v>18</v>
      </c>
      <c r="I327" s="1">
        <v>0</v>
      </c>
      <c r="J327" s="1">
        <v>3</v>
      </c>
      <c r="K327" s="1">
        <v>0</v>
      </c>
      <c r="L327" s="1">
        <v>0</v>
      </c>
      <c r="M327" s="1">
        <v>0</v>
      </c>
      <c r="N327" s="1">
        <v>0</v>
      </c>
      <c r="O327" s="3">
        <v>1.6250827736961899</v>
      </c>
      <c r="P327" s="1">
        <v>4</v>
      </c>
      <c r="Q327" s="1" t="str">
        <f>IF(Table2[[#This Row],[GradeClass]]=4,"A",IF(Table2[[#This Row],[GradeClass]]=3,"B",IF(Table2[[#This Row],[GradeClass]]=2,"C",IF(Table2[[#This Row],[GradeClass]]=1,"D","F"))))</f>
        <v>A</v>
      </c>
    </row>
    <row r="328" spans="1:17" x14ac:dyDescent="0.3">
      <c r="A328" s="1">
        <v>1327</v>
      </c>
      <c r="B328" s="1">
        <v>17</v>
      </c>
      <c r="C328" s="1">
        <v>0</v>
      </c>
      <c r="D328" s="1" t="str">
        <f>IF(Table2[[#This Row],[Gender Code]]=1,"Male","Female")</f>
        <v>Female</v>
      </c>
      <c r="E328" s="1">
        <v>2</v>
      </c>
      <c r="F328" s="1">
        <v>4</v>
      </c>
      <c r="G328" s="2">
        <v>2.5017781967280701</v>
      </c>
      <c r="H328" s="1">
        <v>17</v>
      </c>
      <c r="I328" s="1">
        <v>0</v>
      </c>
      <c r="J328" s="1">
        <v>3</v>
      </c>
      <c r="K328" s="1">
        <v>0</v>
      </c>
      <c r="L328" s="1">
        <v>1</v>
      </c>
      <c r="M328" s="1">
        <v>0</v>
      </c>
      <c r="N328" s="1">
        <v>0</v>
      </c>
      <c r="O328" s="3">
        <v>1.3616984178594</v>
      </c>
      <c r="P328" s="1">
        <v>4</v>
      </c>
      <c r="Q328" s="1" t="str">
        <f>IF(Table2[[#This Row],[GradeClass]]=4,"A",IF(Table2[[#This Row],[GradeClass]]=3,"B",IF(Table2[[#This Row],[GradeClass]]=2,"C",IF(Table2[[#This Row],[GradeClass]]=1,"D","F"))))</f>
        <v>A</v>
      </c>
    </row>
    <row r="329" spans="1:17" x14ac:dyDescent="0.3">
      <c r="A329" s="1">
        <v>1328</v>
      </c>
      <c r="B329" s="1">
        <v>17</v>
      </c>
      <c r="C329" s="1">
        <v>1</v>
      </c>
      <c r="D329" s="1" t="str">
        <f>IF(Table2[[#This Row],[Gender Code]]=1,"Male","Female")</f>
        <v>Male</v>
      </c>
      <c r="E329" s="1">
        <v>0</v>
      </c>
      <c r="F329" s="1">
        <v>3</v>
      </c>
      <c r="G329" s="2">
        <v>2.5956593144522202</v>
      </c>
      <c r="H329" s="1">
        <v>15</v>
      </c>
      <c r="I329" s="1">
        <v>1</v>
      </c>
      <c r="J329" s="1">
        <v>3</v>
      </c>
      <c r="K329" s="1">
        <v>0</v>
      </c>
      <c r="L329" s="1">
        <v>0</v>
      </c>
      <c r="M329" s="1">
        <v>0</v>
      </c>
      <c r="N329" s="1">
        <v>0</v>
      </c>
      <c r="O329" s="3">
        <v>1.9169618961294299</v>
      </c>
      <c r="P329" s="1">
        <v>4</v>
      </c>
      <c r="Q329" s="1" t="str">
        <f>IF(Table2[[#This Row],[GradeClass]]=4,"A",IF(Table2[[#This Row],[GradeClass]]=3,"B",IF(Table2[[#This Row],[GradeClass]]=2,"C",IF(Table2[[#This Row],[GradeClass]]=1,"D","F"))))</f>
        <v>A</v>
      </c>
    </row>
    <row r="330" spans="1:17" x14ac:dyDescent="0.3">
      <c r="A330" s="1">
        <v>1329</v>
      </c>
      <c r="B330" s="1">
        <v>18</v>
      </c>
      <c r="C330" s="1">
        <v>1</v>
      </c>
      <c r="D330" s="1" t="str">
        <f>IF(Table2[[#This Row],[Gender Code]]=1,"Male","Female")</f>
        <v>Male</v>
      </c>
      <c r="E330" s="1">
        <v>2</v>
      </c>
      <c r="F330" s="1">
        <v>2</v>
      </c>
      <c r="G330" s="2">
        <v>11.136367205566099</v>
      </c>
      <c r="H330" s="1">
        <v>22</v>
      </c>
      <c r="I330" s="1">
        <v>0</v>
      </c>
      <c r="J330" s="1">
        <v>0</v>
      </c>
      <c r="K330" s="1">
        <v>0</v>
      </c>
      <c r="L330" s="1">
        <v>0</v>
      </c>
      <c r="M330" s="1">
        <v>0</v>
      </c>
      <c r="N330" s="1">
        <v>0</v>
      </c>
      <c r="O330" s="3">
        <v>1.01125319461675</v>
      </c>
      <c r="P330" s="1">
        <v>4</v>
      </c>
      <c r="Q330" s="1" t="str">
        <f>IF(Table2[[#This Row],[GradeClass]]=4,"A",IF(Table2[[#This Row],[GradeClass]]=3,"B",IF(Table2[[#This Row],[GradeClass]]=2,"C",IF(Table2[[#This Row],[GradeClass]]=1,"D","F"))))</f>
        <v>A</v>
      </c>
    </row>
    <row r="331" spans="1:17" x14ac:dyDescent="0.3">
      <c r="A331" s="1">
        <v>1330</v>
      </c>
      <c r="B331" s="1">
        <v>18</v>
      </c>
      <c r="C331" s="1">
        <v>0</v>
      </c>
      <c r="D331" s="1" t="str">
        <f>IF(Table2[[#This Row],[Gender Code]]=1,"Male","Female")</f>
        <v>Female</v>
      </c>
      <c r="E331" s="1">
        <v>2</v>
      </c>
      <c r="F331" s="1">
        <v>2</v>
      </c>
      <c r="G331" s="2">
        <v>18.927573067167401</v>
      </c>
      <c r="H331" s="1">
        <v>10</v>
      </c>
      <c r="I331" s="1">
        <v>0</v>
      </c>
      <c r="J331" s="1">
        <v>1</v>
      </c>
      <c r="K331" s="1">
        <v>1</v>
      </c>
      <c r="L331" s="1">
        <v>1</v>
      </c>
      <c r="M331" s="1">
        <v>0</v>
      </c>
      <c r="N331" s="1">
        <v>0</v>
      </c>
      <c r="O331" s="3">
        <v>2.3321590405051098</v>
      </c>
      <c r="P331" s="1">
        <v>3</v>
      </c>
      <c r="Q331" s="1" t="str">
        <f>IF(Table2[[#This Row],[GradeClass]]=4,"A",IF(Table2[[#This Row],[GradeClass]]=3,"B",IF(Table2[[#This Row],[GradeClass]]=2,"C",IF(Table2[[#This Row],[GradeClass]]=1,"D","F"))))</f>
        <v>B</v>
      </c>
    </row>
    <row r="332" spans="1:17" x14ac:dyDescent="0.3">
      <c r="A332" s="1">
        <v>1331</v>
      </c>
      <c r="B332" s="1">
        <v>15</v>
      </c>
      <c r="C332" s="1">
        <v>1</v>
      </c>
      <c r="D332" s="1" t="str">
        <f>IF(Table2[[#This Row],[Gender Code]]=1,"Male","Female")</f>
        <v>Male</v>
      </c>
      <c r="E332" s="1">
        <v>2</v>
      </c>
      <c r="F332" s="1">
        <v>1</v>
      </c>
      <c r="G332" s="2">
        <v>8.2999551674150798</v>
      </c>
      <c r="H332" s="1">
        <v>4</v>
      </c>
      <c r="I332" s="1">
        <v>0</v>
      </c>
      <c r="J332" s="1">
        <v>2</v>
      </c>
      <c r="K332" s="1">
        <v>1</v>
      </c>
      <c r="L332" s="1">
        <v>1</v>
      </c>
      <c r="M332" s="1">
        <v>1</v>
      </c>
      <c r="N332" s="1">
        <v>0</v>
      </c>
      <c r="O332" s="3">
        <v>3.3879383477659899</v>
      </c>
      <c r="P332" s="1">
        <v>1</v>
      </c>
      <c r="Q332" s="1" t="str">
        <f>IF(Table2[[#This Row],[GradeClass]]=4,"A",IF(Table2[[#This Row],[GradeClass]]=3,"B",IF(Table2[[#This Row],[GradeClass]]=2,"C",IF(Table2[[#This Row],[GradeClass]]=1,"D","F"))))</f>
        <v>D</v>
      </c>
    </row>
    <row r="333" spans="1:17" x14ac:dyDescent="0.3">
      <c r="A333" s="1">
        <v>1332</v>
      </c>
      <c r="B333" s="1">
        <v>15</v>
      </c>
      <c r="C333" s="1">
        <v>0</v>
      </c>
      <c r="D333" s="1" t="str">
        <f>IF(Table2[[#This Row],[Gender Code]]=1,"Male","Female")</f>
        <v>Female</v>
      </c>
      <c r="E333" s="1">
        <v>0</v>
      </c>
      <c r="F333" s="1">
        <v>2</v>
      </c>
      <c r="G333" s="2">
        <v>6.5388420050938896</v>
      </c>
      <c r="H333" s="1">
        <v>8</v>
      </c>
      <c r="I333" s="1">
        <v>0</v>
      </c>
      <c r="J333" s="1">
        <v>3</v>
      </c>
      <c r="K333" s="1">
        <v>0</v>
      </c>
      <c r="L333" s="1">
        <v>1</v>
      </c>
      <c r="M333" s="1">
        <v>0</v>
      </c>
      <c r="N333" s="1">
        <v>0</v>
      </c>
      <c r="O333" s="3">
        <v>2.3846907913584001</v>
      </c>
      <c r="P333" s="1">
        <v>3</v>
      </c>
      <c r="Q333" s="1" t="str">
        <f>IF(Table2[[#This Row],[GradeClass]]=4,"A",IF(Table2[[#This Row],[GradeClass]]=3,"B",IF(Table2[[#This Row],[GradeClass]]=2,"C",IF(Table2[[#This Row],[GradeClass]]=1,"D","F"))))</f>
        <v>B</v>
      </c>
    </row>
    <row r="334" spans="1:17" x14ac:dyDescent="0.3">
      <c r="A334" s="1">
        <v>1333</v>
      </c>
      <c r="B334" s="1">
        <v>18</v>
      </c>
      <c r="C334" s="1">
        <v>0</v>
      </c>
      <c r="D334" s="1" t="str">
        <f>IF(Table2[[#This Row],[Gender Code]]=1,"Male","Female")</f>
        <v>Female</v>
      </c>
      <c r="E334" s="1">
        <v>0</v>
      </c>
      <c r="F334" s="1">
        <v>2</v>
      </c>
      <c r="G334" s="2">
        <v>12.1337864639577</v>
      </c>
      <c r="H334" s="1">
        <v>2</v>
      </c>
      <c r="I334" s="1">
        <v>0</v>
      </c>
      <c r="J334" s="1">
        <v>0</v>
      </c>
      <c r="K334" s="1">
        <v>0</v>
      </c>
      <c r="L334" s="1">
        <v>0</v>
      </c>
      <c r="M334" s="1">
        <v>0</v>
      </c>
      <c r="N334" s="1">
        <v>0</v>
      </c>
      <c r="O334" s="3">
        <v>2.7808169956104898</v>
      </c>
      <c r="P334" s="1">
        <v>2</v>
      </c>
      <c r="Q334" s="1" t="str">
        <f>IF(Table2[[#This Row],[GradeClass]]=4,"A",IF(Table2[[#This Row],[GradeClass]]=3,"B",IF(Table2[[#This Row],[GradeClass]]=2,"C",IF(Table2[[#This Row],[GradeClass]]=1,"D","F"))))</f>
        <v>C</v>
      </c>
    </row>
    <row r="335" spans="1:17" x14ac:dyDescent="0.3">
      <c r="A335" s="1">
        <v>1334</v>
      </c>
      <c r="B335" s="1">
        <v>17</v>
      </c>
      <c r="C335" s="1">
        <v>1</v>
      </c>
      <c r="D335" s="1" t="str">
        <f>IF(Table2[[#This Row],[Gender Code]]=1,"Male","Female")</f>
        <v>Male</v>
      </c>
      <c r="E335" s="1">
        <v>0</v>
      </c>
      <c r="F335" s="1">
        <v>2</v>
      </c>
      <c r="G335" s="2">
        <v>18.608972010900601</v>
      </c>
      <c r="H335" s="1">
        <v>29</v>
      </c>
      <c r="I335" s="1">
        <v>0</v>
      </c>
      <c r="J335" s="1">
        <v>2</v>
      </c>
      <c r="K335" s="1">
        <v>0</v>
      </c>
      <c r="L335" s="1">
        <v>1</v>
      </c>
      <c r="M335" s="1">
        <v>0</v>
      </c>
      <c r="N335" s="1">
        <v>1</v>
      </c>
      <c r="O335" s="3">
        <v>0.53483575353947299</v>
      </c>
      <c r="P335" s="1">
        <v>4</v>
      </c>
      <c r="Q335" s="1" t="str">
        <f>IF(Table2[[#This Row],[GradeClass]]=4,"A",IF(Table2[[#This Row],[GradeClass]]=3,"B",IF(Table2[[#This Row],[GradeClass]]=2,"C",IF(Table2[[#This Row],[GradeClass]]=1,"D","F"))))</f>
        <v>A</v>
      </c>
    </row>
    <row r="336" spans="1:17" x14ac:dyDescent="0.3">
      <c r="A336" s="1">
        <v>1335</v>
      </c>
      <c r="B336" s="1">
        <v>16</v>
      </c>
      <c r="C336" s="1">
        <v>1</v>
      </c>
      <c r="D336" s="1" t="str">
        <f>IF(Table2[[#This Row],[Gender Code]]=1,"Male","Female")</f>
        <v>Male</v>
      </c>
      <c r="E336" s="1">
        <v>0</v>
      </c>
      <c r="F336" s="1">
        <v>2</v>
      </c>
      <c r="G336" s="2">
        <v>16.738556656892399</v>
      </c>
      <c r="H336" s="1">
        <v>7</v>
      </c>
      <c r="I336" s="1">
        <v>0</v>
      </c>
      <c r="J336" s="1">
        <v>2</v>
      </c>
      <c r="K336" s="1">
        <v>0</v>
      </c>
      <c r="L336" s="1">
        <v>0</v>
      </c>
      <c r="M336" s="1">
        <v>0</v>
      </c>
      <c r="N336" s="1">
        <v>0</v>
      </c>
      <c r="O336" s="3">
        <v>2.5422143487820299</v>
      </c>
      <c r="P336" s="1">
        <v>2</v>
      </c>
      <c r="Q336" s="1" t="str">
        <f>IF(Table2[[#This Row],[GradeClass]]=4,"A",IF(Table2[[#This Row],[GradeClass]]=3,"B",IF(Table2[[#This Row],[GradeClass]]=2,"C",IF(Table2[[#This Row],[GradeClass]]=1,"D","F"))))</f>
        <v>C</v>
      </c>
    </row>
    <row r="337" spans="1:17" x14ac:dyDescent="0.3">
      <c r="A337" s="1">
        <v>1336</v>
      </c>
      <c r="B337" s="1">
        <v>18</v>
      </c>
      <c r="C337" s="1">
        <v>0</v>
      </c>
      <c r="D337" s="1" t="str">
        <f>IF(Table2[[#This Row],[Gender Code]]=1,"Male","Female")</f>
        <v>Female</v>
      </c>
      <c r="E337" s="1">
        <v>0</v>
      </c>
      <c r="F337" s="1">
        <v>1</v>
      </c>
      <c r="G337" s="2">
        <v>19.909672214664301</v>
      </c>
      <c r="H337" s="1">
        <v>5</v>
      </c>
      <c r="I337" s="1">
        <v>0</v>
      </c>
      <c r="J337" s="1">
        <v>3</v>
      </c>
      <c r="K337" s="1">
        <v>0</v>
      </c>
      <c r="L337" s="1">
        <v>0</v>
      </c>
      <c r="M337" s="1">
        <v>0</v>
      </c>
      <c r="N337" s="1">
        <v>0</v>
      </c>
      <c r="O337" s="3">
        <v>3.0071290674312801</v>
      </c>
      <c r="P337" s="1">
        <v>1</v>
      </c>
      <c r="Q337" s="1" t="str">
        <f>IF(Table2[[#This Row],[GradeClass]]=4,"A",IF(Table2[[#This Row],[GradeClass]]=3,"B",IF(Table2[[#This Row],[GradeClass]]=2,"C",IF(Table2[[#This Row],[GradeClass]]=1,"D","F"))))</f>
        <v>D</v>
      </c>
    </row>
    <row r="338" spans="1:17" x14ac:dyDescent="0.3">
      <c r="A338" s="1">
        <v>1337</v>
      </c>
      <c r="B338" s="1">
        <v>15</v>
      </c>
      <c r="C338" s="1">
        <v>0</v>
      </c>
      <c r="D338" s="1" t="str">
        <f>IF(Table2[[#This Row],[Gender Code]]=1,"Male","Female")</f>
        <v>Female</v>
      </c>
      <c r="E338" s="1">
        <v>0</v>
      </c>
      <c r="F338" s="1">
        <v>1</v>
      </c>
      <c r="G338" s="2">
        <v>0.45137166404754098</v>
      </c>
      <c r="H338" s="1">
        <v>3</v>
      </c>
      <c r="I338" s="1">
        <v>0</v>
      </c>
      <c r="J338" s="1">
        <v>2</v>
      </c>
      <c r="K338" s="1">
        <v>1</v>
      </c>
      <c r="L338" s="1">
        <v>0</v>
      </c>
      <c r="M338" s="1">
        <v>0</v>
      </c>
      <c r="N338" s="1">
        <v>0</v>
      </c>
      <c r="O338" s="3">
        <v>2.9858098143768101</v>
      </c>
      <c r="P338" s="1">
        <v>2</v>
      </c>
      <c r="Q338" s="1" t="str">
        <f>IF(Table2[[#This Row],[GradeClass]]=4,"A",IF(Table2[[#This Row],[GradeClass]]=3,"B",IF(Table2[[#This Row],[GradeClass]]=2,"C",IF(Table2[[#This Row],[GradeClass]]=1,"D","F"))))</f>
        <v>C</v>
      </c>
    </row>
    <row r="339" spans="1:17" x14ac:dyDescent="0.3">
      <c r="A339" s="1">
        <v>1338</v>
      </c>
      <c r="B339" s="1">
        <v>17</v>
      </c>
      <c r="C339" s="1">
        <v>0</v>
      </c>
      <c r="D339" s="1" t="str">
        <f>IF(Table2[[#This Row],[Gender Code]]=1,"Male","Female")</f>
        <v>Female</v>
      </c>
      <c r="E339" s="1">
        <v>0</v>
      </c>
      <c r="F339" s="1">
        <v>3</v>
      </c>
      <c r="G339" s="2">
        <v>2.2571628942552402</v>
      </c>
      <c r="H339" s="1">
        <v>11</v>
      </c>
      <c r="I339" s="1">
        <v>0</v>
      </c>
      <c r="J339" s="1">
        <v>2</v>
      </c>
      <c r="K339" s="1">
        <v>0</v>
      </c>
      <c r="L339" s="1">
        <v>1</v>
      </c>
      <c r="M339" s="1">
        <v>0</v>
      </c>
      <c r="N339" s="1">
        <v>0</v>
      </c>
      <c r="O339" s="3">
        <v>1.9493060573283001</v>
      </c>
      <c r="P339" s="1">
        <v>4</v>
      </c>
      <c r="Q339" s="1" t="str">
        <f>IF(Table2[[#This Row],[GradeClass]]=4,"A",IF(Table2[[#This Row],[GradeClass]]=3,"B",IF(Table2[[#This Row],[GradeClass]]=2,"C",IF(Table2[[#This Row],[GradeClass]]=1,"D","F"))))</f>
        <v>A</v>
      </c>
    </row>
    <row r="340" spans="1:17" x14ac:dyDescent="0.3">
      <c r="A340" s="1">
        <v>1339</v>
      </c>
      <c r="B340" s="1">
        <v>18</v>
      </c>
      <c r="C340" s="1">
        <v>0</v>
      </c>
      <c r="D340" s="1" t="str">
        <f>IF(Table2[[#This Row],[Gender Code]]=1,"Male","Female")</f>
        <v>Female</v>
      </c>
      <c r="E340" s="1">
        <v>2</v>
      </c>
      <c r="F340" s="1">
        <v>0</v>
      </c>
      <c r="G340" s="2">
        <v>12.189355267332401</v>
      </c>
      <c r="H340" s="1">
        <v>11</v>
      </c>
      <c r="I340" s="1">
        <v>0</v>
      </c>
      <c r="J340" s="1">
        <v>3</v>
      </c>
      <c r="K340" s="1">
        <v>0</v>
      </c>
      <c r="L340" s="1">
        <v>0</v>
      </c>
      <c r="M340" s="1">
        <v>0</v>
      </c>
      <c r="N340" s="1">
        <v>0</v>
      </c>
      <c r="O340" s="3">
        <v>2.1478451963634901</v>
      </c>
      <c r="P340" s="1">
        <v>3</v>
      </c>
      <c r="Q340" s="1" t="str">
        <f>IF(Table2[[#This Row],[GradeClass]]=4,"A",IF(Table2[[#This Row],[GradeClass]]=3,"B",IF(Table2[[#This Row],[GradeClass]]=2,"C",IF(Table2[[#This Row],[GradeClass]]=1,"D","F"))))</f>
        <v>B</v>
      </c>
    </row>
    <row r="341" spans="1:17" x14ac:dyDescent="0.3">
      <c r="A341" s="1">
        <v>1340</v>
      </c>
      <c r="B341" s="1">
        <v>18</v>
      </c>
      <c r="C341" s="1">
        <v>1</v>
      </c>
      <c r="D341" s="1" t="str">
        <f>IF(Table2[[#This Row],[Gender Code]]=1,"Male","Female")</f>
        <v>Male</v>
      </c>
      <c r="E341" s="1">
        <v>0</v>
      </c>
      <c r="F341" s="1">
        <v>2</v>
      </c>
      <c r="G341" s="2">
        <v>16.4115287866769</v>
      </c>
      <c r="H341" s="1">
        <v>24</v>
      </c>
      <c r="I341" s="1">
        <v>0</v>
      </c>
      <c r="J341" s="1">
        <v>4</v>
      </c>
      <c r="K341" s="1">
        <v>0</v>
      </c>
      <c r="L341" s="1">
        <v>0</v>
      </c>
      <c r="M341" s="1">
        <v>0</v>
      </c>
      <c r="N341" s="1">
        <v>1</v>
      </c>
      <c r="O341" s="3">
        <v>1.17576802523584</v>
      </c>
      <c r="P341" s="1">
        <v>4</v>
      </c>
      <c r="Q341" s="1" t="str">
        <f>IF(Table2[[#This Row],[GradeClass]]=4,"A",IF(Table2[[#This Row],[GradeClass]]=3,"B",IF(Table2[[#This Row],[GradeClass]]=2,"C",IF(Table2[[#This Row],[GradeClass]]=1,"D","F"))))</f>
        <v>A</v>
      </c>
    </row>
    <row r="342" spans="1:17" x14ac:dyDescent="0.3">
      <c r="A342" s="1">
        <v>1341</v>
      </c>
      <c r="B342" s="1">
        <v>17</v>
      </c>
      <c r="C342" s="1">
        <v>1</v>
      </c>
      <c r="D342" s="1" t="str">
        <f>IF(Table2[[#This Row],[Gender Code]]=1,"Male","Female")</f>
        <v>Male</v>
      </c>
      <c r="E342" s="1">
        <v>0</v>
      </c>
      <c r="F342" s="1">
        <v>3</v>
      </c>
      <c r="G342" s="2">
        <v>5.7048868461353299</v>
      </c>
      <c r="H342" s="1">
        <v>20</v>
      </c>
      <c r="I342" s="1">
        <v>0</v>
      </c>
      <c r="J342" s="1">
        <v>1</v>
      </c>
      <c r="K342" s="1">
        <v>1</v>
      </c>
      <c r="L342" s="1">
        <v>0</v>
      </c>
      <c r="M342" s="1">
        <v>0</v>
      </c>
      <c r="N342" s="1">
        <v>0</v>
      </c>
      <c r="O342" s="3">
        <v>1.40036325409442</v>
      </c>
      <c r="P342" s="1">
        <v>4</v>
      </c>
      <c r="Q342" s="1" t="str">
        <f>IF(Table2[[#This Row],[GradeClass]]=4,"A",IF(Table2[[#This Row],[GradeClass]]=3,"B",IF(Table2[[#This Row],[GradeClass]]=2,"C",IF(Table2[[#This Row],[GradeClass]]=1,"D","F"))))</f>
        <v>A</v>
      </c>
    </row>
    <row r="343" spans="1:17" x14ac:dyDescent="0.3">
      <c r="A343" s="1">
        <v>1342</v>
      </c>
      <c r="B343" s="1">
        <v>18</v>
      </c>
      <c r="C343" s="1">
        <v>1</v>
      </c>
      <c r="D343" s="1" t="str">
        <f>IF(Table2[[#This Row],[Gender Code]]=1,"Male","Female")</f>
        <v>Male</v>
      </c>
      <c r="E343" s="1">
        <v>3</v>
      </c>
      <c r="F343" s="1">
        <v>2</v>
      </c>
      <c r="G343" s="2">
        <v>4.7842217606843702</v>
      </c>
      <c r="H343" s="1">
        <v>15</v>
      </c>
      <c r="I343" s="1">
        <v>0</v>
      </c>
      <c r="J343" s="1">
        <v>1</v>
      </c>
      <c r="K343" s="1">
        <v>1</v>
      </c>
      <c r="L343" s="1">
        <v>0</v>
      </c>
      <c r="M343" s="1">
        <v>1</v>
      </c>
      <c r="N343" s="1">
        <v>0</v>
      </c>
      <c r="O343" s="3">
        <v>1.7555440233413899</v>
      </c>
      <c r="P343" s="1">
        <v>4</v>
      </c>
      <c r="Q343" s="1" t="str">
        <f>IF(Table2[[#This Row],[GradeClass]]=4,"A",IF(Table2[[#This Row],[GradeClass]]=3,"B",IF(Table2[[#This Row],[GradeClass]]=2,"C",IF(Table2[[#This Row],[GradeClass]]=1,"D","F"))))</f>
        <v>A</v>
      </c>
    </row>
    <row r="344" spans="1:17" x14ac:dyDescent="0.3">
      <c r="A344" s="1">
        <v>1343</v>
      </c>
      <c r="B344" s="1">
        <v>17</v>
      </c>
      <c r="C344" s="1">
        <v>1</v>
      </c>
      <c r="D344" s="1" t="str">
        <f>IF(Table2[[#This Row],[Gender Code]]=1,"Male","Female")</f>
        <v>Male</v>
      </c>
      <c r="E344" s="1">
        <v>3</v>
      </c>
      <c r="F344" s="1">
        <v>2</v>
      </c>
      <c r="G344" s="2">
        <v>15.739515987623999</v>
      </c>
      <c r="H344" s="1">
        <v>9</v>
      </c>
      <c r="I344" s="1">
        <v>0</v>
      </c>
      <c r="J344" s="1">
        <v>4</v>
      </c>
      <c r="K344" s="1">
        <v>1</v>
      </c>
      <c r="L344" s="1">
        <v>0</v>
      </c>
      <c r="M344" s="1">
        <v>1</v>
      </c>
      <c r="N344" s="1">
        <v>0</v>
      </c>
      <c r="O344" s="3">
        <v>2.9000962392055398</v>
      </c>
      <c r="P344" s="1">
        <v>2</v>
      </c>
      <c r="Q344" s="1" t="str">
        <f>IF(Table2[[#This Row],[GradeClass]]=4,"A",IF(Table2[[#This Row],[GradeClass]]=3,"B",IF(Table2[[#This Row],[GradeClass]]=2,"C",IF(Table2[[#This Row],[GradeClass]]=1,"D","F"))))</f>
        <v>C</v>
      </c>
    </row>
    <row r="345" spans="1:17" x14ac:dyDescent="0.3">
      <c r="A345" s="1">
        <v>1344</v>
      </c>
      <c r="B345" s="1">
        <v>16</v>
      </c>
      <c r="C345" s="1">
        <v>1</v>
      </c>
      <c r="D345" s="1" t="str">
        <f>IF(Table2[[#This Row],[Gender Code]]=1,"Male","Female")</f>
        <v>Male</v>
      </c>
      <c r="E345" s="1">
        <v>2</v>
      </c>
      <c r="F345" s="1">
        <v>1</v>
      </c>
      <c r="G345" s="2">
        <v>1.12763707706463</v>
      </c>
      <c r="H345" s="1">
        <v>21</v>
      </c>
      <c r="I345" s="1">
        <v>0</v>
      </c>
      <c r="J345" s="1">
        <v>2</v>
      </c>
      <c r="K345" s="1">
        <v>0</v>
      </c>
      <c r="L345" s="1">
        <v>0</v>
      </c>
      <c r="M345" s="1">
        <v>0</v>
      </c>
      <c r="N345" s="1">
        <v>0</v>
      </c>
      <c r="O345" s="3">
        <v>1.03345949069015</v>
      </c>
      <c r="P345" s="1">
        <v>4</v>
      </c>
      <c r="Q345" s="1" t="str">
        <f>IF(Table2[[#This Row],[GradeClass]]=4,"A",IF(Table2[[#This Row],[GradeClass]]=3,"B",IF(Table2[[#This Row],[GradeClass]]=2,"C",IF(Table2[[#This Row],[GradeClass]]=1,"D","F"))))</f>
        <v>A</v>
      </c>
    </row>
    <row r="346" spans="1:17" x14ac:dyDescent="0.3">
      <c r="A346" s="1">
        <v>1345</v>
      </c>
      <c r="B346" s="1">
        <v>17</v>
      </c>
      <c r="C346" s="1">
        <v>0</v>
      </c>
      <c r="D346" s="1" t="str">
        <f>IF(Table2[[#This Row],[Gender Code]]=1,"Male","Female")</f>
        <v>Female</v>
      </c>
      <c r="E346" s="1">
        <v>3</v>
      </c>
      <c r="F346" s="1">
        <v>1</v>
      </c>
      <c r="G346" s="2">
        <v>7.3876529516516998</v>
      </c>
      <c r="H346" s="1">
        <v>13</v>
      </c>
      <c r="I346" s="1">
        <v>0</v>
      </c>
      <c r="J346" s="1">
        <v>3</v>
      </c>
      <c r="K346" s="1">
        <v>0</v>
      </c>
      <c r="L346" s="1">
        <v>0</v>
      </c>
      <c r="M346" s="1">
        <v>0</v>
      </c>
      <c r="N346" s="1">
        <v>1</v>
      </c>
      <c r="O346" s="3">
        <v>1.90774236338715</v>
      </c>
      <c r="P346" s="1">
        <v>4</v>
      </c>
      <c r="Q346" s="1" t="str">
        <f>IF(Table2[[#This Row],[GradeClass]]=4,"A",IF(Table2[[#This Row],[GradeClass]]=3,"B",IF(Table2[[#This Row],[GradeClass]]=2,"C",IF(Table2[[#This Row],[GradeClass]]=1,"D","F"))))</f>
        <v>A</v>
      </c>
    </row>
    <row r="347" spans="1:17" x14ac:dyDescent="0.3">
      <c r="A347" s="1">
        <v>1346</v>
      </c>
      <c r="B347" s="1">
        <v>17</v>
      </c>
      <c r="C347" s="1">
        <v>1</v>
      </c>
      <c r="D347" s="1" t="str">
        <f>IF(Table2[[#This Row],[Gender Code]]=1,"Male","Female")</f>
        <v>Male</v>
      </c>
      <c r="E347" s="1">
        <v>1</v>
      </c>
      <c r="F347" s="1">
        <v>3</v>
      </c>
      <c r="G347" s="2">
        <v>10.1161844518465</v>
      </c>
      <c r="H347" s="1">
        <v>12</v>
      </c>
      <c r="I347" s="1">
        <v>0</v>
      </c>
      <c r="J347" s="1">
        <v>3</v>
      </c>
      <c r="K347" s="1">
        <v>0</v>
      </c>
      <c r="L347" s="1">
        <v>0</v>
      </c>
      <c r="M347" s="1">
        <v>0</v>
      </c>
      <c r="N347" s="1">
        <v>0</v>
      </c>
      <c r="O347" s="3">
        <v>1.88090928976547</v>
      </c>
      <c r="P347" s="1">
        <v>4</v>
      </c>
      <c r="Q347" s="1" t="str">
        <f>IF(Table2[[#This Row],[GradeClass]]=4,"A",IF(Table2[[#This Row],[GradeClass]]=3,"B",IF(Table2[[#This Row],[GradeClass]]=2,"C",IF(Table2[[#This Row],[GradeClass]]=1,"D","F"))))</f>
        <v>A</v>
      </c>
    </row>
    <row r="348" spans="1:17" x14ac:dyDescent="0.3">
      <c r="A348" s="1">
        <v>1347</v>
      </c>
      <c r="B348" s="1">
        <v>17</v>
      </c>
      <c r="C348" s="1">
        <v>1</v>
      </c>
      <c r="D348" s="1" t="str">
        <f>IF(Table2[[#This Row],[Gender Code]]=1,"Male","Female")</f>
        <v>Male</v>
      </c>
      <c r="E348" s="1">
        <v>3</v>
      </c>
      <c r="F348" s="1">
        <v>2</v>
      </c>
      <c r="G348" s="2">
        <v>11.206973487006399</v>
      </c>
      <c r="H348" s="1">
        <v>8</v>
      </c>
      <c r="I348" s="1">
        <v>0</v>
      </c>
      <c r="J348" s="1">
        <v>1</v>
      </c>
      <c r="K348" s="1">
        <v>0</v>
      </c>
      <c r="L348" s="1">
        <v>1</v>
      </c>
      <c r="M348" s="1">
        <v>1</v>
      </c>
      <c r="N348" s="1">
        <v>0</v>
      </c>
      <c r="O348" s="3">
        <v>2.6149503539497898</v>
      </c>
      <c r="P348" s="1">
        <v>2</v>
      </c>
      <c r="Q348" s="1" t="str">
        <f>IF(Table2[[#This Row],[GradeClass]]=4,"A",IF(Table2[[#This Row],[GradeClass]]=3,"B",IF(Table2[[#This Row],[GradeClass]]=2,"C",IF(Table2[[#This Row],[GradeClass]]=1,"D","F"))))</f>
        <v>C</v>
      </c>
    </row>
    <row r="349" spans="1:17" x14ac:dyDescent="0.3">
      <c r="A349" s="1">
        <v>1348</v>
      </c>
      <c r="B349" s="1">
        <v>18</v>
      </c>
      <c r="C349" s="1">
        <v>1</v>
      </c>
      <c r="D349" s="1" t="str">
        <f>IF(Table2[[#This Row],[Gender Code]]=1,"Male","Female")</f>
        <v>Male</v>
      </c>
      <c r="E349" s="1">
        <v>0</v>
      </c>
      <c r="F349" s="1">
        <v>2</v>
      </c>
      <c r="G349" s="2">
        <v>14.572303135855501</v>
      </c>
      <c r="H349" s="1">
        <v>6</v>
      </c>
      <c r="I349" s="1">
        <v>0</v>
      </c>
      <c r="J349" s="1">
        <v>3</v>
      </c>
      <c r="K349" s="1">
        <v>1</v>
      </c>
      <c r="L349" s="1">
        <v>0</v>
      </c>
      <c r="M349" s="1">
        <v>1</v>
      </c>
      <c r="N349" s="1">
        <v>0</v>
      </c>
      <c r="O349" s="3">
        <v>3.1071355935726102</v>
      </c>
      <c r="P349" s="1">
        <v>1</v>
      </c>
      <c r="Q349" s="1" t="str">
        <f>IF(Table2[[#This Row],[GradeClass]]=4,"A",IF(Table2[[#This Row],[GradeClass]]=3,"B",IF(Table2[[#This Row],[GradeClass]]=2,"C",IF(Table2[[#This Row],[GradeClass]]=1,"D","F"))))</f>
        <v>D</v>
      </c>
    </row>
    <row r="350" spans="1:17" x14ac:dyDescent="0.3">
      <c r="A350" s="1">
        <v>1349</v>
      </c>
      <c r="B350" s="1">
        <v>18</v>
      </c>
      <c r="C350" s="1">
        <v>1</v>
      </c>
      <c r="D350" s="1" t="str">
        <f>IF(Table2[[#This Row],[Gender Code]]=1,"Male","Female")</f>
        <v>Male</v>
      </c>
      <c r="E350" s="1">
        <v>0</v>
      </c>
      <c r="F350" s="1">
        <v>0</v>
      </c>
      <c r="G350" s="2">
        <v>7.0969144686131598</v>
      </c>
      <c r="H350" s="1">
        <v>11</v>
      </c>
      <c r="I350" s="1">
        <v>0</v>
      </c>
      <c r="J350" s="1">
        <v>3</v>
      </c>
      <c r="K350" s="1">
        <v>0</v>
      </c>
      <c r="L350" s="1">
        <v>0</v>
      </c>
      <c r="M350" s="1">
        <v>0</v>
      </c>
      <c r="N350" s="1">
        <v>0</v>
      </c>
      <c r="O350" s="3">
        <v>1.3864645615</v>
      </c>
      <c r="P350" s="1">
        <v>4</v>
      </c>
      <c r="Q350" s="1" t="str">
        <f>IF(Table2[[#This Row],[GradeClass]]=4,"A",IF(Table2[[#This Row],[GradeClass]]=3,"B",IF(Table2[[#This Row],[GradeClass]]=2,"C",IF(Table2[[#This Row],[GradeClass]]=1,"D","F"))))</f>
        <v>A</v>
      </c>
    </row>
    <row r="351" spans="1:17" x14ac:dyDescent="0.3">
      <c r="A351" s="1">
        <v>1350</v>
      </c>
      <c r="B351" s="1">
        <v>17</v>
      </c>
      <c r="C351" s="1">
        <v>1</v>
      </c>
      <c r="D351" s="1" t="str">
        <f>IF(Table2[[#This Row],[Gender Code]]=1,"Male","Female")</f>
        <v>Male</v>
      </c>
      <c r="E351" s="1">
        <v>0</v>
      </c>
      <c r="F351" s="1">
        <v>0</v>
      </c>
      <c r="G351" s="2">
        <v>12.2536868934921</v>
      </c>
      <c r="H351" s="1">
        <v>4</v>
      </c>
      <c r="I351" s="1">
        <v>0</v>
      </c>
      <c r="J351" s="1">
        <v>2</v>
      </c>
      <c r="K351" s="1">
        <v>0</v>
      </c>
      <c r="L351" s="1">
        <v>0</v>
      </c>
      <c r="M351" s="1">
        <v>0</v>
      </c>
      <c r="N351" s="1">
        <v>0</v>
      </c>
      <c r="O351" s="3">
        <v>2.8337600718448099</v>
      </c>
      <c r="P351" s="1">
        <v>2</v>
      </c>
      <c r="Q351" s="1" t="str">
        <f>IF(Table2[[#This Row],[GradeClass]]=4,"A",IF(Table2[[#This Row],[GradeClass]]=3,"B",IF(Table2[[#This Row],[GradeClass]]=2,"C",IF(Table2[[#This Row],[GradeClass]]=1,"D","F"))))</f>
        <v>C</v>
      </c>
    </row>
    <row r="352" spans="1:17" x14ac:dyDescent="0.3">
      <c r="A352" s="1">
        <v>1351</v>
      </c>
      <c r="B352" s="1">
        <v>18</v>
      </c>
      <c r="C352" s="1">
        <v>0</v>
      </c>
      <c r="D352" s="1" t="str">
        <f>IF(Table2[[#This Row],[Gender Code]]=1,"Male","Female")</f>
        <v>Female</v>
      </c>
      <c r="E352" s="1">
        <v>0</v>
      </c>
      <c r="F352" s="1">
        <v>4</v>
      </c>
      <c r="G352" s="2">
        <v>11.7075084558191</v>
      </c>
      <c r="H352" s="1">
        <v>17</v>
      </c>
      <c r="I352" s="1">
        <v>0</v>
      </c>
      <c r="J352" s="1">
        <v>0</v>
      </c>
      <c r="K352" s="1">
        <v>0</v>
      </c>
      <c r="L352" s="1">
        <v>0</v>
      </c>
      <c r="M352" s="1">
        <v>1</v>
      </c>
      <c r="N352" s="1">
        <v>0</v>
      </c>
      <c r="O352" s="3">
        <v>1.0861513973549899</v>
      </c>
      <c r="P352" s="1">
        <v>4</v>
      </c>
      <c r="Q352" s="1" t="str">
        <f>IF(Table2[[#This Row],[GradeClass]]=4,"A",IF(Table2[[#This Row],[GradeClass]]=3,"B",IF(Table2[[#This Row],[GradeClass]]=2,"C",IF(Table2[[#This Row],[GradeClass]]=1,"D","F"))))</f>
        <v>A</v>
      </c>
    </row>
    <row r="353" spans="1:17" x14ac:dyDescent="0.3">
      <c r="A353" s="1">
        <v>1352</v>
      </c>
      <c r="B353" s="1">
        <v>15</v>
      </c>
      <c r="C353" s="1">
        <v>0</v>
      </c>
      <c r="D353" s="1" t="str">
        <f>IF(Table2[[#This Row],[Gender Code]]=1,"Male","Female")</f>
        <v>Female</v>
      </c>
      <c r="E353" s="1">
        <v>0</v>
      </c>
      <c r="F353" s="1">
        <v>1</v>
      </c>
      <c r="G353" s="2">
        <v>10.9523220130749</v>
      </c>
      <c r="H353" s="1">
        <v>3</v>
      </c>
      <c r="I353" s="1">
        <v>0</v>
      </c>
      <c r="J353" s="1">
        <v>4</v>
      </c>
      <c r="K353" s="1">
        <v>0</v>
      </c>
      <c r="L353" s="1">
        <v>0</v>
      </c>
      <c r="M353" s="1">
        <v>0</v>
      </c>
      <c r="N353" s="1">
        <v>0</v>
      </c>
      <c r="O353" s="3">
        <v>2.8740373600353002</v>
      </c>
      <c r="P353" s="1">
        <v>2</v>
      </c>
      <c r="Q353" s="1" t="str">
        <f>IF(Table2[[#This Row],[GradeClass]]=4,"A",IF(Table2[[#This Row],[GradeClass]]=3,"B",IF(Table2[[#This Row],[GradeClass]]=2,"C",IF(Table2[[#This Row],[GradeClass]]=1,"D","F"))))</f>
        <v>C</v>
      </c>
    </row>
    <row r="354" spans="1:17" x14ac:dyDescent="0.3">
      <c r="A354" s="1">
        <v>1353</v>
      </c>
      <c r="B354" s="1">
        <v>15</v>
      </c>
      <c r="C354" s="1">
        <v>0</v>
      </c>
      <c r="D354" s="1" t="str">
        <f>IF(Table2[[#This Row],[Gender Code]]=1,"Male","Female")</f>
        <v>Female</v>
      </c>
      <c r="E354" s="1">
        <v>1</v>
      </c>
      <c r="F354" s="1">
        <v>2</v>
      </c>
      <c r="G354" s="2">
        <v>12.8096658628442</v>
      </c>
      <c r="H354" s="1">
        <v>1</v>
      </c>
      <c r="I354" s="1">
        <v>0</v>
      </c>
      <c r="J354" s="1">
        <v>2</v>
      </c>
      <c r="K354" s="1">
        <v>0</v>
      </c>
      <c r="L354" s="1">
        <v>1</v>
      </c>
      <c r="M354" s="1">
        <v>0</v>
      </c>
      <c r="N354" s="1">
        <v>0</v>
      </c>
      <c r="O354" s="3">
        <v>2.8956713046591802</v>
      </c>
      <c r="P354" s="1">
        <v>2</v>
      </c>
      <c r="Q354" s="1" t="str">
        <f>IF(Table2[[#This Row],[GradeClass]]=4,"A",IF(Table2[[#This Row],[GradeClass]]=3,"B",IF(Table2[[#This Row],[GradeClass]]=2,"C",IF(Table2[[#This Row],[GradeClass]]=1,"D","F"))))</f>
        <v>C</v>
      </c>
    </row>
    <row r="355" spans="1:17" x14ac:dyDescent="0.3">
      <c r="A355" s="1">
        <v>1354</v>
      </c>
      <c r="B355" s="1">
        <v>18</v>
      </c>
      <c r="C355" s="1">
        <v>1</v>
      </c>
      <c r="D355" s="1" t="str">
        <f>IF(Table2[[#This Row],[Gender Code]]=1,"Male","Female")</f>
        <v>Male</v>
      </c>
      <c r="E355" s="1">
        <v>2</v>
      </c>
      <c r="F355" s="1">
        <v>0</v>
      </c>
      <c r="G355" s="2">
        <v>5.1889834213615202</v>
      </c>
      <c r="H355" s="1">
        <v>2</v>
      </c>
      <c r="I355" s="1">
        <v>1</v>
      </c>
      <c r="J355" s="1">
        <v>3</v>
      </c>
      <c r="K355" s="1">
        <v>0</v>
      </c>
      <c r="L355" s="1">
        <v>0</v>
      </c>
      <c r="M355" s="1">
        <v>0</v>
      </c>
      <c r="N355" s="1">
        <v>0</v>
      </c>
      <c r="O355" s="3">
        <v>3.1813076022771098</v>
      </c>
      <c r="P355" s="1">
        <v>1</v>
      </c>
      <c r="Q355" s="1" t="str">
        <f>IF(Table2[[#This Row],[GradeClass]]=4,"A",IF(Table2[[#This Row],[GradeClass]]=3,"B",IF(Table2[[#This Row],[GradeClass]]=2,"C",IF(Table2[[#This Row],[GradeClass]]=1,"D","F"))))</f>
        <v>D</v>
      </c>
    </row>
    <row r="356" spans="1:17" x14ac:dyDescent="0.3">
      <c r="A356" s="1">
        <v>1355</v>
      </c>
      <c r="B356" s="1">
        <v>18</v>
      </c>
      <c r="C356" s="1">
        <v>0</v>
      </c>
      <c r="D356" s="1" t="str">
        <f>IF(Table2[[#This Row],[Gender Code]]=1,"Male","Female")</f>
        <v>Female</v>
      </c>
      <c r="E356" s="1">
        <v>1</v>
      </c>
      <c r="F356" s="1">
        <v>2</v>
      </c>
      <c r="G356" s="2">
        <v>1.69297507169257</v>
      </c>
      <c r="H356" s="1">
        <v>25</v>
      </c>
      <c r="I356" s="1">
        <v>0</v>
      </c>
      <c r="J356" s="1">
        <v>3</v>
      </c>
      <c r="K356" s="1">
        <v>0</v>
      </c>
      <c r="L356" s="1">
        <v>0</v>
      </c>
      <c r="M356" s="1">
        <v>0</v>
      </c>
      <c r="N356" s="1">
        <v>0</v>
      </c>
      <c r="O356" s="3">
        <v>0.471283108843431</v>
      </c>
      <c r="P356" s="1">
        <v>4</v>
      </c>
      <c r="Q356" s="1" t="str">
        <f>IF(Table2[[#This Row],[GradeClass]]=4,"A",IF(Table2[[#This Row],[GradeClass]]=3,"B",IF(Table2[[#This Row],[GradeClass]]=2,"C",IF(Table2[[#This Row],[GradeClass]]=1,"D","F"))))</f>
        <v>A</v>
      </c>
    </row>
    <row r="357" spans="1:17" x14ac:dyDescent="0.3">
      <c r="A357" s="1">
        <v>1356</v>
      </c>
      <c r="B357" s="1">
        <v>17</v>
      </c>
      <c r="C357" s="1">
        <v>0</v>
      </c>
      <c r="D357" s="1" t="str">
        <f>IF(Table2[[#This Row],[Gender Code]]=1,"Male","Female")</f>
        <v>Female</v>
      </c>
      <c r="E357" s="1">
        <v>0</v>
      </c>
      <c r="F357" s="1">
        <v>3</v>
      </c>
      <c r="G357" s="2">
        <v>2.3854334407948601</v>
      </c>
      <c r="H357" s="1">
        <v>11</v>
      </c>
      <c r="I357" s="1">
        <v>1</v>
      </c>
      <c r="J357" s="1">
        <v>2</v>
      </c>
      <c r="K357" s="1">
        <v>0</v>
      </c>
      <c r="L357" s="1">
        <v>0</v>
      </c>
      <c r="M357" s="1">
        <v>0</v>
      </c>
      <c r="N357" s="1">
        <v>0</v>
      </c>
      <c r="O357" s="3">
        <v>2.2113795279733499</v>
      </c>
      <c r="P357" s="1">
        <v>3</v>
      </c>
      <c r="Q357" s="1" t="str">
        <f>IF(Table2[[#This Row],[GradeClass]]=4,"A",IF(Table2[[#This Row],[GradeClass]]=3,"B",IF(Table2[[#This Row],[GradeClass]]=2,"C",IF(Table2[[#This Row],[GradeClass]]=1,"D","F"))))</f>
        <v>B</v>
      </c>
    </row>
    <row r="358" spans="1:17" x14ac:dyDescent="0.3">
      <c r="A358" s="1">
        <v>1357</v>
      </c>
      <c r="B358" s="1">
        <v>16</v>
      </c>
      <c r="C358" s="1">
        <v>1</v>
      </c>
      <c r="D358" s="1" t="str">
        <f>IF(Table2[[#This Row],[Gender Code]]=1,"Male","Female")</f>
        <v>Male</v>
      </c>
      <c r="E358" s="1">
        <v>2</v>
      </c>
      <c r="F358" s="1">
        <v>2</v>
      </c>
      <c r="G358" s="2">
        <v>4.4916476530780196</v>
      </c>
      <c r="H358" s="1">
        <v>2</v>
      </c>
      <c r="I358" s="1">
        <v>1</v>
      </c>
      <c r="J358" s="1">
        <v>3</v>
      </c>
      <c r="K358" s="1">
        <v>1</v>
      </c>
      <c r="L358" s="1">
        <v>1</v>
      </c>
      <c r="M358" s="1">
        <v>0</v>
      </c>
      <c r="N358" s="1">
        <v>0</v>
      </c>
      <c r="O358" s="3">
        <v>3.37525225524608</v>
      </c>
      <c r="P358" s="1">
        <v>1</v>
      </c>
      <c r="Q358" s="1" t="str">
        <f>IF(Table2[[#This Row],[GradeClass]]=4,"A",IF(Table2[[#This Row],[GradeClass]]=3,"B",IF(Table2[[#This Row],[GradeClass]]=2,"C",IF(Table2[[#This Row],[GradeClass]]=1,"D","F"))))</f>
        <v>D</v>
      </c>
    </row>
    <row r="359" spans="1:17" x14ac:dyDescent="0.3">
      <c r="A359" s="1">
        <v>1358</v>
      </c>
      <c r="B359" s="1">
        <v>18</v>
      </c>
      <c r="C359" s="1">
        <v>1</v>
      </c>
      <c r="D359" s="1" t="str">
        <f>IF(Table2[[#This Row],[Gender Code]]=1,"Male","Female")</f>
        <v>Male</v>
      </c>
      <c r="E359" s="1">
        <v>1</v>
      </c>
      <c r="F359" s="1">
        <v>1</v>
      </c>
      <c r="G359" s="2">
        <v>10.0039587104557</v>
      </c>
      <c r="H359" s="1">
        <v>3</v>
      </c>
      <c r="I359" s="1">
        <v>0</v>
      </c>
      <c r="J359" s="1">
        <v>4</v>
      </c>
      <c r="K359" s="1">
        <v>0</v>
      </c>
      <c r="L359" s="1">
        <v>1</v>
      </c>
      <c r="M359" s="1">
        <v>0</v>
      </c>
      <c r="N359" s="1">
        <v>0</v>
      </c>
      <c r="O359" s="3">
        <v>3.2038581907969199</v>
      </c>
      <c r="P359" s="1">
        <v>1</v>
      </c>
      <c r="Q359" s="1" t="str">
        <f>IF(Table2[[#This Row],[GradeClass]]=4,"A",IF(Table2[[#This Row],[GradeClass]]=3,"B",IF(Table2[[#This Row],[GradeClass]]=2,"C",IF(Table2[[#This Row],[GradeClass]]=1,"D","F"))))</f>
        <v>D</v>
      </c>
    </row>
    <row r="360" spans="1:17" x14ac:dyDescent="0.3">
      <c r="A360" s="1">
        <v>1359</v>
      </c>
      <c r="B360" s="1">
        <v>15</v>
      </c>
      <c r="C360" s="1">
        <v>1</v>
      </c>
      <c r="D360" s="1" t="str">
        <f>IF(Table2[[#This Row],[Gender Code]]=1,"Male","Female")</f>
        <v>Male</v>
      </c>
      <c r="E360" s="1">
        <v>0</v>
      </c>
      <c r="F360" s="1">
        <v>2</v>
      </c>
      <c r="G360" s="2">
        <v>16.8088550109204</v>
      </c>
      <c r="H360" s="1">
        <v>5</v>
      </c>
      <c r="I360" s="1">
        <v>0</v>
      </c>
      <c r="J360" s="1">
        <v>2</v>
      </c>
      <c r="K360" s="1">
        <v>0</v>
      </c>
      <c r="L360" s="1">
        <v>0</v>
      </c>
      <c r="M360" s="1">
        <v>1</v>
      </c>
      <c r="N360" s="1">
        <v>0</v>
      </c>
      <c r="O360" s="3">
        <v>3.3501791105924799</v>
      </c>
      <c r="P360" s="1">
        <v>1</v>
      </c>
      <c r="Q360" s="1" t="str">
        <f>IF(Table2[[#This Row],[GradeClass]]=4,"A",IF(Table2[[#This Row],[GradeClass]]=3,"B",IF(Table2[[#This Row],[GradeClass]]=2,"C",IF(Table2[[#This Row],[GradeClass]]=1,"D","F"))))</f>
        <v>D</v>
      </c>
    </row>
    <row r="361" spans="1:17" x14ac:dyDescent="0.3">
      <c r="A361" s="1">
        <v>1360</v>
      </c>
      <c r="B361" s="1">
        <v>17</v>
      </c>
      <c r="C361" s="1">
        <v>0</v>
      </c>
      <c r="D361" s="1" t="str">
        <f>IF(Table2[[#This Row],[Gender Code]]=1,"Male","Female")</f>
        <v>Female</v>
      </c>
      <c r="E361" s="1">
        <v>1</v>
      </c>
      <c r="F361" s="1">
        <v>2</v>
      </c>
      <c r="G361" s="2">
        <v>14.0258668417676</v>
      </c>
      <c r="H361" s="1">
        <v>11</v>
      </c>
      <c r="I361" s="1">
        <v>0</v>
      </c>
      <c r="J361" s="1">
        <v>2</v>
      </c>
      <c r="K361" s="1">
        <v>0</v>
      </c>
      <c r="L361" s="1">
        <v>0</v>
      </c>
      <c r="M361" s="1">
        <v>0</v>
      </c>
      <c r="N361" s="1">
        <v>0</v>
      </c>
      <c r="O361" s="3">
        <v>1.72579152974271</v>
      </c>
      <c r="P361" s="1">
        <v>4</v>
      </c>
      <c r="Q361" s="1" t="str">
        <f>IF(Table2[[#This Row],[GradeClass]]=4,"A",IF(Table2[[#This Row],[GradeClass]]=3,"B",IF(Table2[[#This Row],[GradeClass]]=2,"C",IF(Table2[[#This Row],[GradeClass]]=1,"D","F"))))</f>
        <v>A</v>
      </c>
    </row>
    <row r="362" spans="1:17" x14ac:dyDescent="0.3">
      <c r="A362" s="1">
        <v>1361</v>
      </c>
      <c r="B362" s="1">
        <v>18</v>
      </c>
      <c r="C362" s="1">
        <v>0</v>
      </c>
      <c r="D362" s="1" t="str">
        <f>IF(Table2[[#This Row],[Gender Code]]=1,"Male","Female")</f>
        <v>Female</v>
      </c>
      <c r="E362" s="1">
        <v>0</v>
      </c>
      <c r="F362" s="1">
        <v>2</v>
      </c>
      <c r="G362" s="2">
        <v>15.7808120840409</v>
      </c>
      <c r="H362" s="1">
        <v>18</v>
      </c>
      <c r="I362" s="1">
        <v>0</v>
      </c>
      <c r="J362" s="1">
        <v>4</v>
      </c>
      <c r="K362" s="1">
        <v>1</v>
      </c>
      <c r="L362" s="1">
        <v>0</v>
      </c>
      <c r="M362" s="1">
        <v>0</v>
      </c>
      <c r="N362" s="1">
        <v>0</v>
      </c>
      <c r="O362" s="3">
        <v>2.2166038146961</v>
      </c>
      <c r="P362" s="1">
        <v>3</v>
      </c>
      <c r="Q362" s="1" t="str">
        <f>IF(Table2[[#This Row],[GradeClass]]=4,"A",IF(Table2[[#This Row],[GradeClass]]=3,"B",IF(Table2[[#This Row],[GradeClass]]=2,"C",IF(Table2[[#This Row],[GradeClass]]=1,"D","F"))))</f>
        <v>B</v>
      </c>
    </row>
    <row r="363" spans="1:17" x14ac:dyDescent="0.3">
      <c r="A363" s="1">
        <v>1362</v>
      </c>
      <c r="B363" s="1">
        <v>15</v>
      </c>
      <c r="C363" s="1">
        <v>1</v>
      </c>
      <c r="D363" s="1" t="str">
        <f>IF(Table2[[#This Row],[Gender Code]]=1,"Male","Female")</f>
        <v>Male</v>
      </c>
      <c r="E363" s="1">
        <v>0</v>
      </c>
      <c r="F363" s="1">
        <v>3</v>
      </c>
      <c r="G363" s="2">
        <v>7.0195124785218201</v>
      </c>
      <c r="H363" s="1">
        <v>9</v>
      </c>
      <c r="I363" s="1">
        <v>0</v>
      </c>
      <c r="J363" s="1">
        <v>1</v>
      </c>
      <c r="K363" s="1">
        <v>1</v>
      </c>
      <c r="L363" s="1">
        <v>0</v>
      </c>
      <c r="M363" s="1">
        <v>0</v>
      </c>
      <c r="N363" s="1">
        <v>1</v>
      </c>
      <c r="O363" s="3">
        <v>2.00462731700748</v>
      </c>
      <c r="P363" s="1">
        <v>3</v>
      </c>
      <c r="Q363" s="1" t="str">
        <f>IF(Table2[[#This Row],[GradeClass]]=4,"A",IF(Table2[[#This Row],[GradeClass]]=3,"B",IF(Table2[[#This Row],[GradeClass]]=2,"C",IF(Table2[[#This Row],[GradeClass]]=1,"D","F"))))</f>
        <v>B</v>
      </c>
    </row>
    <row r="364" spans="1:17" x14ac:dyDescent="0.3">
      <c r="A364" s="1">
        <v>1363</v>
      </c>
      <c r="B364" s="1">
        <v>15</v>
      </c>
      <c r="C364" s="1">
        <v>1</v>
      </c>
      <c r="D364" s="1" t="str">
        <f>IF(Table2[[#This Row],[Gender Code]]=1,"Male","Female")</f>
        <v>Male</v>
      </c>
      <c r="E364" s="1">
        <v>3</v>
      </c>
      <c r="F364" s="1">
        <v>2</v>
      </c>
      <c r="G364" s="2">
        <v>8.0930748329710003</v>
      </c>
      <c r="H364" s="1">
        <v>29</v>
      </c>
      <c r="I364" s="1">
        <v>1</v>
      </c>
      <c r="J364" s="1">
        <v>0</v>
      </c>
      <c r="K364" s="1">
        <v>0</v>
      </c>
      <c r="L364" s="1">
        <v>0</v>
      </c>
      <c r="M364" s="1">
        <v>0</v>
      </c>
      <c r="N364" s="1">
        <v>0</v>
      </c>
      <c r="O364" s="3">
        <v>0.71574204554467402</v>
      </c>
      <c r="P364" s="1">
        <v>4</v>
      </c>
      <c r="Q364" s="1" t="str">
        <f>IF(Table2[[#This Row],[GradeClass]]=4,"A",IF(Table2[[#This Row],[GradeClass]]=3,"B",IF(Table2[[#This Row],[GradeClass]]=2,"C",IF(Table2[[#This Row],[GradeClass]]=1,"D","F"))))</f>
        <v>A</v>
      </c>
    </row>
    <row r="365" spans="1:17" x14ac:dyDescent="0.3">
      <c r="A365" s="1">
        <v>1364</v>
      </c>
      <c r="B365" s="1">
        <v>16</v>
      </c>
      <c r="C365" s="1">
        <v>0</v>
      </c>
      <c r="D365" s="1" t="str">
        <f>IF(Table2[[#This Row],[Gender Code]]=1,"Male","Female")</f>
        <v>Female</v>
      </c>
      <c r="E365" s="1">
        <v>0</v>
      </c>
      <c r="F365" s="1">
        <v>3</v>
      </c>
      <c r="G365" s="2">
        <v>7.8736377198122502</v>
      </c>
      <c r="H365" s="1">
        <v>0</v>
      </c>
      <c r="I365" s="1">
        <v>1</v>
      </c>
      <c r="J365" s="1">
        <v>4</v>
      </c>
      <c r="K365" s="1">
        <v>0</v>
      </c>
      <c r="L365" s="1">
        <v>0</v>
      </c>
      <c r="M365" s="1">
        <v>1</v>
      </c>
      <c r="N365" s="1">
        <v>0</v>
      </c>
      <c r="O365" s="3">
        <v>3.8806400848697402</v>
      </c>
      <c r="P365" s="1">
        <v>0</v>
      </c>
      <c r="Q365" s="1" t="str">
        <f>IF(Table2[[#This Row],[GradeClass]]=4,"A",IF(Table2[[#This Row],[GradeClass]]=3,"B",IF(Table2[[#This Row],[GradeClass]]=2,"C",IF(Table2[[#This Row],[GradeClass]]=1,"D","F"))))</f>
        <v>F</v>
      </c>
    </row>
    <row r="366" spans="1:17" x14ac:dyDescent="0.3">
      <c r="A366" s="1">
        <v>1365</v>
      </c>
      <c r="B366" s="1">
        <v>17</v>
      </c>
      <c r="C366" s="1">
        <v>0</v>
      </c>
      <c r="D366" s="1" t="str">
        <f>IF(Table2[[#This Row],[Gender Code]]=1,"Male","Female")</f>
        <v>Female</v>
      </c>
      <c r="E366" s="1">
        <v>0</v>
      </c>
      <c r="F366" s="1">
        <v>2</v>
      </c>
      <c r="G366" s="2">
        <v>3.8374636880900299</v>
      </c>
      <c r="H366" s="1">
        <v>16</v>
      </c>
      <c r="I366" s="1">
        <v>0</v>
      </c>
      <c r="J366" s="1">
        <v>3</v>
      </c>
      <c r="K366" s="1">
        <v>1</v>
      </c>
      <c r="L366" s="1">
        <v>0</v>
      </c>
      <c r="M366" s="1">
        <v>1</v>
      </c>
      <c r="N366" s="1">
        <v>0</v>
      </c>
      <c r="O366" s="3">
        <v>1.6895281584189401</v>
      </c>
      <c r="P366" s="1">
        <v>4</v>
      </c>
      <c r="Q366" s="1" t="str">
        <f>IF(Table2[[#This Row],[GradeClass]]=4,"A",IF(Table2[[#This Row],[GradeClass]]=3,"B",IF(Table2[[#This Row],[GradeClass]]=2,"C",IF(Table2[[#This Row],[GradeClass]]=1,"D","F"))))</f>
        <v>A</v>
      </c>
    </row>
    <row r="367" spans="1:17" x14ac:dyDescent="0.3">
      <c r="A367" s="1">
        <v>1366</v>
      </c>
      <c r="B367" s="1">
        <v>17</v>
      </c>
      <c r="C367" s="1">
        <v>1</v>
      </c>
      <c r="D367" s="1" t="str">
        <f>IF(Table2[[#This Row],[Gender Code]]=1,"Male","Female")</f>
        <v>Male</v>
      </c>
      <c r="E367" s="1">
        <v>2</v>
      </c>
      <c r="F367" s="1">
        <v>1</v>
      </c>
      <c r="G367" s="2">
        <v>1.22433316287144</v>
      </c>
      <c r="H367" s="1">
        <v>15</v>
      </c>
      <c r="I367" s="1">
        <v>0</v>
      </c>
      <c r="J367" s="1">
        <v>4</v>
      </c>
      <c r="K367" s="1">
        <v>1</v>
      </c>
      <c r="L367" s="1">
        <v>1</v>
      </c>
      <c r="M367" s="1">
        <v>0</v>
      </c>
      <c r="N367" s="1">
        <v>1</v>
      </c>
      <c r="O367" s="3">
        <v>1.7579788035014201</v>
      </c>
      <c r="P367" s="1">
        <v>4</v>
      </c>
      <c r="Q367" s="1" t="str">
        <f>IF(Table2[[#This Row],[GradeClass]]=4,"A",IF(Table2[[#This Row],[GradeClass]]=3,"B",IF(Table2[[#This Row],[GradeClass]]=2,"C",IF(Table2[[#This Row],[GradeClass]]=1,"D","F"))))</f>
        <v>A</v>
      </c>
    </row>
    <row r="368" spans="1:17" x14ac:dyDescent="0.3">
      <c r="A368" s="1">
        <v>1367</v>
      </c>
      <c r="B368" s="1">
        <v>16</v>
      </c>
      <c r="C368" s="1">
        <v>1</v>
      </c>
      <c r="D368" s="1" t="str">
        <f>IF(Table2[[#This Row],[Gender Code]]=1,"Male","Female")</f>
        <v>Male</v>
      </c>
      <c r="E368" s="1">
        <v>2</v>
      </c>
      <c r="F368" s="1">
        <v>1</v>
      </c>
      <c r="G368" s="2">
        <v>11.8183218565445</v>
      </c>
      <c r="H368" s="1">
        <v>8</v>
      </c>
      <c r="I368" s="1">
        <v>0</v>
      </c>
      <c r="J368" s="1">
        <v>0</v>
      </c>
      <c r="K368" s="1">
        <v>0</v>
      </c>
      <c r="L368" s="1">
        <v>0</v>
      </c>
      <c r="M368" s="1">
        <v>0</v>
      </c>
      <c r="N368" s="1">
        <v>0</v>
      </c>
      <c r="O368" s="3">
        <v>2.13639954624038</v>
      </c>
      <c r="P368" s="1">
        <v>3</v>
      </c>
      <c r="Q368" s="1" t="str">
        <f>IF(Table2[[#This Row],[GradeClass]]=4,"A",IF(Table2[[#This Row],[GradeClass]]=3,"B",IF(Table2[[#This Row],[GradeClass]]=2,"C",IF(Table2[[#This Row],[GradeClass]]=1,"D","F"))))</f>
        <v>B</v>
      </c>
    </row>
    <row r="369" spans="1:17" x14ac:dyDescent="0.3">
      <c r="A369" s="1">
        <v>1368</v>
      </c>
      <c r="B369" s="1">
        <v>16</v>
      </c>
      <c r="C369" s="1">
        <v>0</v>
      </c>
      <c r="D369" s="1" t="str">
        <f>IF(Table2[[#This Row],[Gender Code]]=1,"Male","Female")</f>
        <v>Female</v>
      </c>
      <c r="E369" s="1">
        <v>0</v>
      </c>
      <c r="F369" s="1">
        <v>1</v>
      </c>
      <c r="G369" s="2">
        <v>19.784333668411701</v>
      </c>
      <c r="H369" s="1">
        <v>24</v>
      </c>
      <c r="I369" s="1">
        <v>1</v>
      </c>
      <c r="J369" s="1">
        <v>1</v>
      </c>
      <c r="K369" s="1">
        <v>0</v>
      </c>
      <c r="L369" s="1">
        <v>1</v>
      </c>
      <c r="M369" s="1">
        <v>0</v>
      </c>
      <c r="N369" s="1">
        <v>0</v>
      </c>
      <c r="O369" s="3">
        <v>0.91156827064668799</v>
      </c>
      <c r="P369" s="1">
        <v>4</v>
      </c>
      <c r="Q369" s="1" t="str">
        <f>IF(Table2[[#This Row],[GradeClass]]=4,"A",IF(Table2[[#This Row],[GradeClass]]=3,"B",IF(Table2[[#This Row],[GradeClass]]=2,"C",IF(Table2[[#This Row],[GradeClass]]=1,"D","F"))))</f>
        <v>A</v>
      </c>
    </row>
    <row r="370" spans="1:17" x14ac:dyDescent="0.3">
      <c r="A370" s="1">
        <v>1369</v>
      </c>
      <c r="B370" s="1">
        <v>17</v>
      </c>
      <c r="C370" s="1">
        <v>1</v>
      </c>
      <c r="D370" s="1" t="str">
        <f>IF(Table2[[#This Row],[Gender Code]]=1,"Male","Female")</f>
        <v>Male</v>
      </c>
      <c r="E370" s="1">
        <v>0</v>
      </c>
      <c r="F370" s="1">
        <v>3</v>
      </c>
      <c r="G370" s="2">
        <v>3.3365940990052501</v>
      </c>
      <c r="H370" s="1">
        <v>20</v>
      </c>
      <c r="I370" s="1">
        <v>1</v>
      </c>
      <c r="J370" s="1">
        <v>1</v>
      </c>
      <c r="K370" s="1">
        <v>0</v>
      </c>
      <c r="L370" s="1">
        <v>0</v>
      </c>
      <c r="M370" s="1">
        <v>0</v>
      </c>
      <c r="N370" s="1">
        <v>0</v>
      </c>
      <c r="O370" s="3">
        <v>1.1378011102056</v>
      </c>
      <c r="P370" s="1">
        <v>4</v>
      </c>
      <c r="Q370" s="1" t="str">
        <f>IF(Table2[[#This Row],[GradeClass]]=4,"A",IF(Table2[[#This Row],[GradeClass]]=3,"B",IF(Table2[[#This Row],[GradeClass]]=2,"C",IF(Table2[[#This Row],[GradeClass]]=1,"D","F"))))</f>
        <v>A</v>
      </c>
    </row>
    <row r="371" spans="1:17" x14ac:dyDescent="0.3">
      <c r="A371" s="1">
        <v>1370</v>
      </c>
      <c r="B371" s="1">
        <v>17</v>
      </c>
      <c r="C371" s="1">
        <v>0</v>
      </c>
      <c r="D371" s="1" t="str">
        <f>IF(Table2[[#This Row],[Gender Code]]=1,"Male","Female")</f>
        <v>Female</v>
      </c>
      <c r="E371" s="1">
        <v>0</v>
      </c>
      <c r="F371" s="1">
        <v>2</v>
      </c>
      <c r="G371" s="2">
        <v>0.93369639798547499</v>
      </c>
      <c r="H371" s="1">
        <v>8</v>
      </c>
      <c r="I371" s="1">
        <v>1</v>
      </c>
      <c r="J371" s="1">
        <v>3</v>
      </c>
      <c r="K371" s="1">
        <v>1</v>
      </c>
      <c r="L371" s="1">
        <v>0</v>
      </c>
      <c r="M371" s="1">
        <v>0</v>
      </c>
      <c r="N371" s="1">
        <v>1</v>
      </c>
      <c r="O371" s="3">
        <v>2.34926492736688</v>
      </c>
      <c r="P371" s="1">
        <v>3</v>
      </c>
      <c r="Q371" s="1" t="str">
        <f>IF(Table2[[#This Row],[GradeClass]]=4,"A",IF(Table2[[#This Row],[GradeClass]]=3,"B",IF(Table2[[#This Row],[GradeClass]]=2,"C",IF(Table2[[#This Row],[GradeClass]]=1,"D","F"))))</f>
        <v>B</v>
      </c>
    </row>
    <row r="372" spans="1:17" x14ac:dyDescent="0.3">
      <c r="A372" s="1">
        <v>1371</v>
      </c>
      <c r="B372" s="1">
        <v>18</v>
      </c>
      <c r="C372" s="1">
        <v>0</v>
      </c>
      <c r="D372" s="1" t="str">
        <f>IF(Table2[[#This Row],[Gender Code]]=1,"Male","Female")</f>
        <v>Female</v>
      </c>
      <c r="E372" s="1">
        <v>1</v>
      </c>
      <c r="F372" s="1">
        <v>2</v>
      </c>
      <c r="G372" s="2">
        <v>15.5906336364786</v>
      </c>
      <c r="H372" s="1">
        <v>26</v>
      </c>
      <c r="I372" s="1">
        <v>0</v>
      </c>
      <c r="J372" s="1">
        <v>3</v>
      </c>
      <c r="K372" s="1">
        <v>0</v>
      </c>
      <c r="L372" s="1">
        <v>0</v>
      </c>
      <c r="M372" s="1">
        <v>0</v>
      </c>
      <c r="N372" s="1">
        <v>0</v>
      </c>
      <c r="O372" s="3">
        <v>0.62374743654728704</v>
      </c>
      <c r="P372" s="1">
        <v>4</v>
      </c>
      <c r="Q372" s="1" t="str">
        <f>IF(Table2[[#This Row],[GradeClass]]=4,"A",IF(Table2[[#This Row],[GradeClass]]=3,"B",IF(Table2[[#This Row],[GradeClass]]=2,"C",IF(Table2[[#This Row],[GradeClass]]=1,"D","F"))))</f>
        <v>A</v>
      </c>
    </row>
    <row r="373" spans="1:17" x14ac:dyDescent="0.3">
      <c r="A373" s="1">
        <v>1372</v>
      </c>
      <c r="B373" s="1">
        <v>18</v>
      </c>
      <c r="C373" s="1">
        <v>0</v>
      </c>
      <c r="D373" s="1" t="str">
        <f>IF(Table2[[#This Row],[Gender Code]]=1,"Male","Female")</f>
        <v>Female</v>
      </c>
      <c r="E373" s="1">
        <v>0</v>
      </c>
      <c r="F373" s="1">
        <v>1</v>
      </c>
      <c r="G373" s="2">
        <v>5.0517201336944799</v>
      </c>
      <c r="H373" s="1">
        <v>22</v>
      </c>
      <c r="I373" s="1">
        <v>0</v>
      </c>
      <c r="J373" s="1">
        <v>2</v>
      </c>
      <c r="K373" s="1">
        <v>0</v>
      </c>
      <c r="L373" s="1">
        <v>0</v>
      </c>
      <c r="M373" s="1">
        <v>1</v>
      </c>
      <c r="N373" s="1">
        <v>0</v>
      </c>
      <c r="O373" s="3">
        <v>0.34102944592512602</v>
      </c>
      <c r="P373" s="1">
        <v>4</v>
      </c>
      <c r="Q373" s="1" t="str">
        <f>IF(Table2[[#This Row],[GradeClass]]=4,"A",IF(Table2[[#This Row],[GradeClass]]=3,"B",IF(Table2[[#This Row],[GradeClass]]=2,"C",IF(Table2[[#This Row],[GradeClass]]=1,"D","F"))))</f>
        <v>A</v>
      </c>
    </row>
    <row r="374" spans="1:17" x14ac:dyDescent="0.3">
      <c r="A374" s="1">
        <v>1373</v>
      </c>
      <c r="B374" s="1">
        <v>16</v>
      </c>
      <c r="C374" s="1">
        <v>0</v>
      </c>
      <c r="D374" s="1" t="str">
        <f>IF(Table2[[#This Row],[Gender Code]]=1,"Male","Female")</f>
        <v>Female</v>
      </c>
      <c r="E374" s="1">
        <v>0</v>
      </c>
      <c r="F374" s="1">
        <v>1</v>
      </c>
      <c r="G374" s="2">
        <v>16.592876107058501</v>
      </c>
      <c r="H374" s="1">
        <v>8</v>
      </c>
      <c r="I374" s="1">
        <v>0</v>
      </c>
      <c r="J374" s="1">
        <v>0</v>
      </c>
      <c r="K374" s="1">
        <v>0</v>
      </c>
      <c r="L374" s="1">
        <v>0</v>
      </c>
      <c r="M374" s="1">
        <v>0</v>
      </c>
      <c r="N374" s="1">
        <v>0</v>
      </c>
      <c r="O374" s="3">
        <v>2.2238136667516901</v>
      </c>
      <c r="P374" s="1">
        <v>3</v>
      </c>
      <c r="Q374" s="1" t="str">
        <f>IF(Table2[[#This Row],[GradeClass]]=4,"A",IF(Table2[[#This Row],[GradeClass]]=3,"B",IF(Table2[[#This Row],[GradeClass]]=2,"C",IF(Table2[[#This Row],[GradeClass]]=1,"D","F"))))</f>
        <v>B</v>
      </c>
    </row>
    <row r="375" spans="1:17" x14ac:dyDescent="0.3">
      <c r="A375" s="1">
        <v>1374</v>
      </c>
      <c r="B375" s="1">
        <v>18</v>
      </c>
      <c r="C375" s="1">
        <v>1</v>
      </c>
      <c r="D375" s="1" t="str">
        <f>IF(Table2[[#This Row],[Gender Code]]=1,"Male","Female")</f>
        <v>Male</v>
      </c>
      <c r="E375" s="1">
        <v>3</v>
      </c>
      <c r="F375" s="1">
        <v>2</v>
      </c>
      <c r="G375" s="2">
        <v>14.078733340690301</v>
      </c>
      <c r="H375" s="1">
        <v>11</v>
      </c>
      <c r="I375" s="1">
        <v>0</v>
      </c>
      <c r="J375" s="1">
        <v>3</v>
      </c>
      <c r="K375" s="1">
        <v>0</v>
      </c>
      <c r="L375" s="1">
        <v>0</v>
      </c>
      <c r="M375" s="1">
        <v>0</v>
      </c>
      <c r="N375" s="1">
        <v>1</v>
      </c>
      <c r="O375" s="3">
        <v>2.32824038463015</v>
      </c>
      <c r="P375" s="1">
        <v>3</v>
      </c>
      <c r="Q375" s="1" t="str">
        <f>IF(Table2[[#This Row],[GradeClass]]=4,"A",IF(Table2[[#This Row],[GradeClass]]=3,"B",IF(Table2[[#This Row],[GradeClass]]=2,"C",IF(Table2[[#This Row],[GradeClass]]=1,"D","F"))))</f>
        <v>B</v>
      </c>
    </row>
    <row r="376" spans="1:17" x14ac:dyDescent="0.3">
      <c r="A376" s="1">
        <v>1375</v>
      </c>
      <c r="B376" s="1">
        <v>15</v>
      </c>
      <c r="C376" s="1">
        <v>1</v>
      </c>
      <c r="D376" s="1" t="str">
        <f>IF(Table2[[#This Row],[Gender Code]]=1,"Male","Female")</f>
        <v>Male</v>
      </c>
      <c r="E376" s="1">
        <v>1</v>
      </c>
      <c r="F376" s="1">
        <v>2</v>
      </c>
      <c r="G376" s="2">
        <v>18.913470741015999</v>
      </c>
      <c r="H376" s="1">
        <v>22</v>
      </c>
      <c r="I376" s="1">
        <v>1</v>
      </c>
      <c r="J376" s="1">
        <v>2</v>
      </c>
      <c r="K376" s="1">
        <v>1</v>
      </c>
      <c r="L376" s="1">
        <v>0</v>
      </c>
      <c r="M376" s="1">
        <v>0</v>
      </c>
      <c r="N376" s="1">
        <v>0</v>
      </c>
      <c r="O376" s="3">
        <v>1.62307782200885</v>
      </c>
      <c r="P376" s="1">
        <v>4</v>
      </c>
      <c r="Q376" s="1" t="str">
        <f>IF(Table2[[#This Row],[GradeClass]]=4,"A",IF(Table2[[#This Row],[GradeClass]]=3,"B",IF(Table2[[#This Row],[GradeClass]]=2,"C",IF(Table2[[#This Row],[GradeClass]]=1,"D","F"))))</f>
        <v>A</v>
      </c>
    </row>
    <row r="377" spans="1:17" x14ac:dyDescent="0.3">
      <c r="A377" s="1">
        <v>1376</v>
      </c>
      <c r="B377" s="1">
        <v>18</v>
      </c>
      <c r="C377" s="1">
        <v>0</v>
      </c>
      <c r="D377" s="1" t="str">
        <f>IF(Table2[[#This Row],[Gender Code]]=1,"Male","Female")</f>
        <v>Female</v>
      </c>
      <c r="E377" s="1">
        <v>0</v>
      </c>
      <c r="F377" s="1">
        <v>1</v>
      </c>
      <c r="G377" s="2">
        <v>8.1785447151334392</v>
      </c>
      <c r="H377" s="1">
        <v>8</v>
      </c>
      <c r="I377" s="1">
        <v>1</v>
      </c>
      <c r="J377" s="1">
        <v>1</v>
      </c>
      <c r="K377" s="1">
        <v>1</v>
      </c>
      <c r="L377" s="1">
        <v>0</v>
      </c>
      <c r="M377" s="1">
        <v>0</v>
      </c>
      <c r="N377" s="1">
        <v>0</v>
      </c>
      <c r="O377" s="3">
        <v>2.2008963215285902</v>
      </c>
      <c r="P377" s="1">
        <v>3</v>
      </c>
      <c r="Q377" s="1" t="str">
        <f>IF(Table2[[#This Row],[GradeClass]]=4,"A",IF(Table2[[#This Row],[GradeClass]]=3,"B",IF(Table2[[#This Row],[GradeClass]]=2,"C",IF(Table2[[#This Row],[GradeClass]]=1,"D","F"))))</f>
        <v>B</v>
      </c>
    </row>
    <row r="378" spans="1:17" x14ac:dyDescent="0.3">
      <c r="A378" s="1">
        <v>1377</v>
      </c>
      <c r="B378" s="1">
        <v>18</v>
      </c>
      <c r="C378" s="1">
        <v>0</v>
      </c>
      <c r="D378" s="1" t="str">
        <f>IF(Table2[[#This Row],[Gender Code]]=1,"Male","Female")</f>
        <v>Female</v>
      </c>
      <c r="E378" s="1">
        <v>1</v>
      </c>
      <c r="F378" s="1">
        <v>2</v>
      </c>
      <c r="G378" s="2">
        <v>13.2393967890126</v>
      </c>
      <c r="H378" s="1">
        <v>14</v>
      </c>
      <c r="I378" s="1">
        <v>0</v>
      </c>
      <c r="J378" s="1">
        <v>4</v>
      </c>
      <c r="K378" s="1">
        <v>0</v>
      </c>
      <c r="L378" s="1">
        <v>1</v>
      </c>
      <c r="M378" s="1">
        <v>0</v>
      </c>
      <c r="N378" s="1">
        <v>0</v>
      </c>
      <c r="O378" s="3">
        <v>2.58411065506386</v>
      </c>
      <c r="P378" s="1">
        <v>2</v>
      </c>
      <c r="Q378" s="1" t="str">
        <f>IF(Table2[[#This Row],[GradeClass]]=4,"A",IF(Table2[[#This Row],[GradeClass]]=3,"B",IF(Table2[[#This Row],[GradeClass]]=2,"C",IF(Table2[[#This Row],[GradeClass]]=1,"D","F"))))</f>
        <v>C</v>
      </c>
    </row>
    <row r="379" spans="1:17" x14ac:dyDescent="0.3">
      <c r="A379" s="1">
        <v>1378</v>
      </c>
      <c r="B379" s="1">
        <v>15</v>
      </c>
      <c r="C379" s="1">
        <v>0</v>
      </c>
      <c r="D379" s="1" t="str">
        <f>IF(Table2[[#This Row],[Gender Code]]=1,"Male","Female")</f>
        <v>Female</v>
      </c>
      <c r="E379" s="1">
        <v>1</v>
      </c>
      <c r="F379" s="1">
        <v>0</v>
      </c>
      <c r="G379" s="2">
        <v>9.2970956162654108</v>
      </c>
      <c r="H379" s="1">
        <v>1</v>
      </c>
      <c r="I379" s="1">
        <v>0</v>
      </c>
      <c r="J379" s="1">
        <v>1</v>
      </c>
      <c r="K379" s="1">
        <v>1</v>
      </c>
      <c r="L379" s="1">
        <v>0</v>
      </c>
      <c r="M379" s="1">
        <v>0</v>
      </c>
      <c r="N379" s="1">
        <v>0</v>
      </c>
      <c r="O379" s="3">
        <v>2.9965033042477001</v>
      </c>
      <c r="P379" s="1">
        <v>2</v>
      </c>
      <c r="Q379" s="1" t="str">
        <f>IF(Table2[[#This Row],[GradeClass]]=4,"A",IF(Table2[[#This Row],[GradeClass]]=3,"B",IF(Table2[[#This Row],[GradeClass]]=2,"C",IF(Table2[[#This Row],[GradeClass]]=1,"D","F"))))</f>
        <v>C</v>
      </c>
    </row>
    <row r="380" spans="1:17" x14ac:dyDescent="0.3">
      <c r="A380" s="1">
        <v>1379</v>
      </c>
      <c r="B380" s="1">
        <v>16</v>
      </c>
      <c r="C380" s="1">
        <v>0</v>
      </c>
      <c r="D380" s="1" t="str">
        <f>IF(Table2[[#This Row],[Gender Code]]=1,"Male","Female")</f>
        <v>Female</v>
      </c>
      <c r="E380" s="1">
        <v>0</v>
      </c>
      <c r="F380" s="1">
        <v>1</v>
      </c>
      <c r="G380" s="2">
        <v>12.6117739461708</v>
      </c>
      <c r="H380" s="1">
        <v>10</v>
      </c>
      <c r="I380" s="1">
        <v>0</v>
      </c>
      <c r="J380" s="1">
        <v>3</v>
      </c>
      <c r="K380" s="1">
        <v>0</v>
      </c>
      <c r="L380" s="1">
        <v>0</v>
      </c>
      <c r="M380" s="1">
        <v>1</v>
      </c>
      <c r="N380" s="1">
        <v>0</v>
      </c>
      <c r="O380" s="3">
        <v>2.3739934814358401</v>
      </c>
      <c r="P380" s="1">
        <v>3</v>
      </c>
      <c r="Q380" s="1" t="str">
        <f>IF(Table2[[#This Row],[GradeClass]]=4,"A",IF(Table2[[#This Row],[GradeClass]]=3,"B",IF(Table2[[#This Row],[GradeClass]]=2,"C",IF(Table2[[#This Row],[GradeClass]]=1,"D","F"))))</f>
        <v>B</v>
      </c>
    </row>
    <row r="381" spans="1:17" x14ac:dyDescent="0.3">
      <c r="A381" s="1">
        <v>1380</v>
      </c>
      <c r="B381" s="1">
        <v>15</v>
      </c>
      <c r="C381" s="1">
        <v>0</v>
      </c>
      <c r="D381" s="1" t="str">
        <f>IF(Table2[[#This Row],[Gender Code]]=1,"Male","Female")</f>
        <v>Female</v>
      </c>
      <c r="E381" s="1">
        <v>0</v>
      </c>
      <c r="F381" s="1">
        <v>2</v>
      </c>
      <c r="G381" s="2">
        <v>8.9919781201547409</v>
      </c>
      <c r="H381" s="1">
        <v>10</v>
      </c>
      <c r="I381" s="1">
        <v>1</v>
      </c>
      <c r="J381" s="1">
        <v>3</v>
      </c>
      <c r="K381" s="1">
        <v>1</v>
      </c>
      <c r="L381" s="1">
        <v>0</v>
      </c>
      <c r="M381" s="1">
        <v>0</v>
      </c>
      <c r="N381" s="1">
        <v>0</v>
      </c>
      <c r="O381" s="3">
        <v>2.83040445570954</v>
      </c>
      <c r="P381" s="1">
        <v>2</v>
      </c>
      <c r="Q381" s="1" t="str">
        <f>IF(Table2[[#This Row],[GradeClass]]=4,"A",IF(Table2[[#This Row],[GradeClass]]=3,"B",IF(Table2[[#This Row],[GradeClass]]=2,"C",IF(Table2[[#This Row],[GradeClass]]=1,"D","F"))))</f>
        <v>C</v>
      </c>
    </row>
    <row r="382" spans="1:17" x14ac:dyDescent="0.3">
      <c r="A382" s="1">
        <v>1381</v>
      </c>
      <c r="B382" s="1">
        <v>18</v>
      </c>
      <c r="C382" s="1">
        <v>1</v>
      </c>
      <c r="D382" s="1" t="str">
        <f>IF(Table2[[#This Row],[Gender Code]]=1,"Male","Female")</f>
        <v>Male</v>
      </c>
      <c r="E382" s="1">
        <v>2</v>
      </c>
      <c r="F382" s="1">
        <v>1</v>
      </c>
      <c r="G382" s="2">
        <v>3.77264492848149</v>
      </c>
      <c r="H382" s="1">
        <v>7</v>
      </c>
      <c r="I382" s="1">
        <v>0</v>
      </c>
      <c r="J382" s="1">
        <v>2</v>
      </c>
      <c r="K382" s="1">
        <v>1</v>
      </c>
      <c r="L382" s="1">
        <v>1</v>
      </c>
      <c r="M382" s="1">
        <v>0</v>
      </c>
      <c r="N382" s="1">
        <v>1</v>
      </c>
      <c r="O382" s="3">
        <v>2.5251155338354798</v>
      </c>
      <c r="P382" s="1">
        <v>2</v>
      </c>
      <c r="Q382" s="1" t="str">
        <f>IF(Table2[[#This Row],[GradeClass]]=4,"A",IF(Table2[[#This Row],[GradeClass]]=3,"B",IF(Table2[[#This Row],[GradeClass]]=2,"C",IF(Table2[[#This Row],[GradeClass]]=1,"D","F"))))</f>
        <v>C</v>
      </c>
    </row>
    <row r="383" spans="1:17" x14ac:dyDescent="0.3">
      <c r="A383" s="1">
        <v>1382</v>
      </c>
      <c r="B383" s="1">
        <v>16</v>
      </c>
      <c r="C383" s="1">
        <v>1</v>
      </c>
      <c r="D383" s="1" t="str">
        <f>IF(Table2[[#This Row],[Gender Code]]=1,"Male","Female")</f>
        <v>Male</v>
      </c>
      <c r="E383" s="1">
        <v>0</v>
      </c>
      <c r="F383" s="1">
        <v>4</v>
      </c>
      <c r="G383" s="2">
        <v>10.1579483200676</v>
      </c>
      <c r="H383" s="1">
        <v>22</v>
      </c>
      <c r="I383" s="1">
        <v>0</v>
      </c>
      <c r="J383" s="1">
        <v>1</v>
      </c>
      <c r="K383" s="1">
        <v>1</v>
      </c>
      <c r="L383" s="1">
        <v>0</v>
      </c>
      <c r="M383" s="1">
        <v>0</v>
      </c>
      <c r="N383" s="1">
        <v>0</v>
      </c>
      <c r="O383" s="3">
        <v>1.0429816505882701</v>
      </c>
      <c r="P383" s="1">
        <v>4</v>
      </c>
      <c r="Q383" s="1" t="str">
        <f>IF(Table2[[#This Row],[GradeClass]]=4,"A",IF(Table2[[#This Row],[GradeClass]]=3,"B",IF(Table2[[#This Row],[GradeClass]]=2,"C",IF(Table2[[#This Row],[GradeClass]]=1,"D","F"))))</f>
        <v>A</v>
      </c>
    </row>
    <row r="384" spans="1:17" x14ac:dyDescent="0.3">
      <c r="A384" s="1">
        <v>1383</v>
      </c>
      <c r="B384" s="1">
        <v>18</v>
      </c>
      <c r="C384" s="1">
        <v>1</v>
      </c>
      <c r="D384" s="1" t="str">
        <f>IF(Table2[[#This Row],[Gender Code]]=1,"Male","Female")</f>
        <v>Male</v>
      </c>
      <c r="E384" s="1">
        <v>1</v>
      </c>
      <c r="F384" s="1">
        <v>1</v>
      </c>
      <c r="G384" s="2">
        <v>10.5716840287488</v>
      </c>
      <c r="H384" s="1">
        <v>5</v>
      </c>
      <c r="I384" s="1">
        <v>0</v>
      </c>
      <c r="J384" s="1">
        <v>2</v>
      </c>
      <c r="K384" s="1">
        <v>1</v>
      </c>
      <c r="L384" s="1">
        <v>0</v>
      </c>
      <c r="M384" s="1">
        <v>0</v>
      </c>
      <c r="N384" s="1">
        <v>1</v>
      </c>
      <c r="O384" s="3">
        <v>2.6610969036702099</v>
      </c>
      <c r="P384" s="1">
        <v>2</v>
      </c>
      <c r="Q384" s="1" t="str">
        <f>IF(Table2[[#This Row],[GradeClass]]=4,"A",IF(Table2[[#This Row],[GradeClass]]=3,"B",IF(Table2[[#This Row],[GradeClass]]=2,"C",IF(Table2[[#This Row],[GradeClass]]=1,"D","F"))))</f>
        <v>C</v>
      </c>
    </row>
    <row r="385" spans="1:17" x14ac:dyDescent="0.3">
      <c r="A385" s="1">
        <v>1384</v>
      </c>
      <c r="B385" s="1">
        <v>15</v>
      </c>
      <c r="C385" s="1">
        <v>1</v>
      </c>
      <c r="D385" s="1" t="str">
        <f>IF(Table2[[#This Row],[Gender Code]]=1,"Male","Female")</f>
        <v>Male</v>
      </c>
      <c r="E385" s="1">
        <v>0</v>
      </c>
      <c r="F385" s="1">
        <v>1</v>
      </c>
      <c r="G385" s="2">
        <v>16.212076965203199</v>
      </c>
      <c r="H385" s="1">
        <v>20</v>
      </c>
      <c r="I385" s="1">
        <v>0</v>
      </c>
      <c r="J385" s="1">
        <v>3</v>
      </c>
      <c r="K385" s="1">
        <v>0</v>
      </c>
      <c r="L385" s="1">
        <v>0</v>
      </c>
      <c r="M385" s="1">
        <v>0</v>
      </c>
      <c r="N385" s="1">
        <v>0</v>
      </c>
      <c r="O385" s="3">
        <v>1.59959388772805</v>
      </c>
      <c r="P385" s="1">
        <v>4</v>
      </c>
      <c r="Q385" s="1" t="str">
        <f>IF(Table2[[#This Row],[GradeClass]]=4,"A",IF(Table2[[#This Row],[GradeClass]]=3,"B",IF(Table2[[#This Row],[GradeClass]]=2,"C",IF(Table2[[#This Row],[GradeClass]]=1,"D","F"))))</f>
        <v>A</v>
      </c>
    </row>
    <row r="386" spans="1:17" x14ac:dyDescent="0.3">
      <c r="A386" s="1">
        <v>1385</v>
      </c>
      <c r="B386" s="1">
        <v>15</v>
      </c>
      <c r="C386" s="1">
        <v>0</v>
      </c>
      <c r="D386" s="1" t="str">
        <f>IF(Table2[[#This Row],[Gender Code]]=1,"Male","Female")</f>
        <v>Female</v>
      </c>
      <c r="E386" s="1">
        <v>0</v>
      </c>
      <c r="F386" s="1">
        <v>1</v>
      </c>
      <c r="G386" s="2">
        <v>14.7104141158716</v>
      </c>
      <c r="H386" s="1">
        <v>19</v>
      </c>
      <c r="I386" s="1">
        <v>1</v>
      </c>
      <c r="J386" s="1">
        <v>1</v>
      </c>
      <c r="K386" s="1">
        <v>1</v>
      </c>
      <c r="L386" s="1">
        <v>0</v>
      </c>
      <c r="M386" s="1">
        <v>0</v>
      </c>
      <c r="N386" s="1">
        <v>0</v>
      </c>
      <c r="O386" s="3">
        <v>1.7994091491724999</v>
      </c>
      <c r="P386" s="1">
        <v>4</v>
      </c>
      <c r="Q386" s="1" t="str">
        <f>IF(Table2[[#This Row],[GradeClass]]=4,"A",IF(Table2[[#This Row],[GradeClass]]=3,"B",IF(Table2[[#This Row],[GradeClass]]=2,"C",IF(Table2[[#This Row],[GradeClass]]=1,"D","F"))))</f>
        <v>A</v>
      </c>
    </row>
    <row r="387" spans="1:17" x14ac:dyDescent="0.3">
      <c r="A387" s="1">
        <v>1386</v>
      </c>
      <c r="B387" s="1">
        <v>18</v>
      </c>
      <c r="C387" s="1">
        <v>0</v>
      </c>
      <c r="D387" s="1" t="str">
        <f>IF(Table2[[#This Row],[Gender Code]]=1,"Male","Female")</f>
        <v>Female</v>
      </c>
      <c r="E387" s="1">
        <v>0</v>
      </c>
      <c r="F387" s="1">
        <v>2</v>
      </c>
      <c r="G387" s="2">
        <v>13.2758324788288</v>
      </c>
      <c r="H387" s="1">
        <v>6</v>
      </c>
      <c r="I387" s="1">
        <v>0</v>
      </c>
      <c r="J387" s="1">
        <v>3</v>
      </c>
      <c r="K387" s="1">
        <v>0</v>
      </c>
      <c r="L387" s="1">
        <v>0</v>
      </c>
      <c r="M387" s="1">
        <v>0</v>
      </c>
      <c r="N387" s="1">
        <v>0</v>
      </c>
      <c r="O387" s="3">
        <v>2.6576385566959999</v>
      </c>
      <c r="P387" s="1">
        <v>2</v>
      </c>
      <c r="Q387" s="1" t="str">
        <f>IF(Table2[[#This Row],[GradeClass]]=4,"A",IF(Table2[[#This Row],[GradeClass]]=3,"B",IF(Table2[[#This Row],[GradeClass]]=2,"C",IF(Table2[[#This Row],[GradeClass]]=1,"D","F"))))</f>
        <v>C</v>
      </c>
    </row>
    <row r="388" spans="1:17" x14ac:dyDescent="0.3">
      <c r="A388" s="1">
        <v>1387</v>
      </c>
      <c r="B388" s="1">
        <v>17</v>
      </c>
      <c r="C388" s="1">
        <v>0</v>
      </c>
      <c r="D388" s="1" t="str">
        <f>IF(Table2[[#This Row],[Gender Code]]=1,"Male","Female")</f>
        <v>Female</v>
      </c>
      <c r="E388" s="1">
        <v>0</v>
      </c>
      <c r="F388" s="1">
        <v>2</v>
      </c>
      <c r="G388" s="2">
        <v>2.2677419110514498</v>
      </c>
      <c r="H388" s="1">
        <v>2</v>
      </c>
      <c r="I388" s="1">
        <v>0</v>
      </c>
      <c r="J388" s="1">
        <v>4</v>
      </c>
      <c r="K388" s="1">
        <v>0</v>
      </c>
      <c r="L388" s="1">
        <v>0</v>
      </c>
      <c r="M388" s="1">
        <v>0</v>
      </c>
      <c r="N388" s="1">
        <v>0</v>
      </c>
      <c r="O388" s="3">
        <v>2.9984840618830901</v>
      </c>
      <c r="P388" s="1">
        <v>2</v>
      </c>
      <c r="Q388" s="1" t="str">
        <f>IF(Table2[[#This Row],[GradeClass]]=4,"A",IF(Table2[[#This Row],[GradeClass]]=3,"B",IF(Table2[[#This Row],[GradeClass]]=2,"C",IF(Table2[[#This Row],[GradeClass]]=1,"D","F"))))</f>
        <v>C</v>
      </c>
    </row>
    <row r="389" spans="1:17" x14ac:dyDescent="0.3">
      <c r="A389" s="1">
        <v>1388</v>
      </c>
      <c r="B389" s="1">
        <v>17</v>
      </c>
      <c r="C389" s="1">
        <v>0</v>
      </c>
      <c r="D389" s="1" t="str">
        <f>IF(Table2[[#This Row],[Gender Code]]=1,"Male","Female")</f>
        <v>Female</v>
      </c>
      <c r="E389" s="1">
        <v>0</v>
      </c>
      <c r="F389" s="1">
        <v>2</v>
      </c>
      <c r="G389" s="2">
        <v>14.4123258132743</v>
      </c>
      <c r="H389" s="1">
        <v>7</v>
      </c>
      <c r="I389" s="1">
        <v>0</v>
      </c>
      <c r="J389" s="1">
        <v>4</v>
      </c>
      <c r="K389" s="1">
        <v>0</v>
      </c>
      <c r="L389" s="1">
        <v>0</v>
      </c>
      <c r="M389" s="1">
        <v>1</v>
      </c>
      <c r="N389" s="1">
        <v>0</v>
      </c>
      <c r="O389" s="3">
        <v>2.97740843289268</v>
      </c>
      <c r="P389" s="1">
        <v>2</v>
      </c>
      <c r="Q389" s="1" t="str">
        <f>IF(Table2[[#This Row],[GradeClass]]=4,"A",IF(Table2[[#This Row],[GradeClass]]=3,"B",IF(Table2[[#This Row],[GradeClass]]=2,"C",IF(Table2[[#This Row],[GradeClass]]=1,"D","F"))))</f>
        <v>C</v>
      </c>
    </row>
    <row r="390" spans="1:17" x14ac:dyDescent="0.3">
      <c r="A390" s="1">
        <v>1389</v>
      </c>
      <c r="B390" s="1">
        <v>15</v>
      </c>
      <c r="C390" s="1">
        <v>0</v>
      </c>
      <c r="D390" s="1" t="str">
        <f>IF(Table2[[#This Row],[Gender Code]]=1,"Male","Female")</f>
        <v>Female</v>
      </c>
      <c r="E390" s="1">
        <v>0</v>
      </c>
      <c r="F390" s="1">
        <v>0</v>
      </c>
      <c r="G390" s="2">
        <v>10.006103127090199</v>
      </c>
      <c r="H390" s="1">
        <v>17</v>
      </c>
      <c r="I390" s="1">
        <v>0</v>
      </c>
      <c r="J390" s="1">
        <v>2</v>
      </c>
      <c r="K390" s="1">
        <v>0</v>
      </c>
      <c r="L390" s="1">
        <v>0</v>
      </c>
      <c r="M390" s="1">
        <v>0</v>
      </c>
      <c r="N390" s="1">
        <v>0</v>
      </c>
      <c r="O390" s="3">
        <v>1.3751641369478</v>
      </c>
      <c r="P390" s="1">
        <v>4</v>
      </c>
      <c r="Q390" s="1" t="str">
        <f>IF(Table2[[#This Row],[GradeClass]]=4,"A",IF(Table2[[#This Row],[GradeClass]]=3,"B",IF(Table2[[#This Row],[GradeClass]]=2,"C",IF(Table2[[#This Row],[GradeClass]]=1,"D","F"))))</f>
        <v>A</v>
      </c>
    </row>
    <row r="391" spans="1:17" x14ac:dyDescent="0.3">
      <c r="A391" s="1">
        <v>1390</v>
      </c>
      <c r="B391" s="1">
        <v>15</v>
      </c>
      <c r="C391" s="1">
        <v>1</v>
      </c>
      <c r="D391" s="1" t="str">
        <f>IF(Table2[[#This Row],[Gender Code]]=1,"Male","Female")</f>
        <v>Male</v>
      </c>
      <c r="E391" s="1">
        <v>2</v>
      </c>
      <c r="F391" s="1">
        <v>0</v>
      </c>
      <c r="G391" s="2">
        <v>17.881990722123099</v>
      </c>
      <c r="H391" s="1">
        <v>16</v>
      </c>
      <c r="I391" s="1">
        <v>0</v>
      </c>
      <c r="J391" s="1">
        <v>3</v>
      </c>
      <c r="K391" s="1">
        <v>1</v>
      </c>
      <c r="L391" s="1">
        <v>0</v>
      </c>
      <c r="M391" s="1">
        <v>0</v>
      </c>
      <c r="N391" s="1">
        <v>1</v>
      </c>
      <c r="O391" s="3">
        <v>1.84886644019123</v>
      </c>
      <c r="P391" s="1">
        <v>4</v>
      </c>
      <c r="Q391" s="1" t="str">
        <f>IF(Table2[[#This Row],[GradeClass]]=4,"A",IF(Table2[[#This Row],[GradeClass]]=3,"B",IF(Table2[[#This Row],[GradeClass]]=2,"C",IF(Table2[[#This Row],[GradeClass]]=1,"D","F"))))</f>
        <v>A</v>
      </c>
    </row>
    <row r="392" spans="1:17" x14ac:dyDescent="0.3">
      <c r="A392" s="1">
        <v>1391</v>
      </c>
      <c r="B392" s="1">
        <v>17</v>
      </c>
      <c r="C392" s="1">
        <v>0</v>
      </c>
      <c r="D392" s="1" t="str">
        <f>IF(Table2[[#This Row],[Gender Code]]=1,"Male","Female")</f>
        <v>Female</v>
      </c>
      <c r="E392" s="1">
        <v>3</v>
      </c>
      <c r="F392" s="1">
        <v>2</v>
      </c>
      <c r="G392" s="2">
        <v>18.397418682610802</v>
      </c>
      <c r="H392" s="1">
        <v>10</v>
      </c>
      <c r="I392" s="1">
        <v>0</v>
      </c>
      <c r="J392" s="1">
        <v>4</v>
      </c>
      <c r="K392" s="1">
        <v>0</v>
      </c>
      <c r="L392" s="1">
        <v>0</v>
      </c>
      <c r="M392" s="1">
        <v>0</v>
      </c>
      <c r="N392" s="1">
        <v>0</v>
      </c>
      <c r="O392" s="3">
        <v>2.44245620012927</v>
      </c>
      <c r="P392" s="1">
        <v>3</v>
      </c>
      <c r="Q392" s="1" t="str">
        <f>IF(Table2[[#This Row],[GradeClass]]=4,"A",IF(Table2[[#This Row],[GradeClass]]=3,"B",IF(Table2[[#This Row],[GradeClass]]=2,"C",IF(Table2[[#This Row],[GradeClass]]=1,"D","F"))))</f>
        <v>B</v>
      </c>
    </row>
    <row r="393" spans="1:17" x14ac:dyDescent="0.3">
      <c r="A393" s="1">
        <v>1392</v>
      </c>
      <c r="B393" s="1">
        <v>17</v>
      </c>
      <c r="C393" s="1">
        <v>1</v>
      </c>
      <c r="D393" s="1" t="str">
        <f>IF(Table2[[#This Row],[Gender Code]]=1,"Male","Female")</f>
        <v>Male</v>
      </c>
      <c r="E393" s="1">
        <v>2</v>
      </c>
      <c r="F393" s="1">
        <v>3</v>
      </c>
      <c r="G393" s="2">
        <v>1.1031318120357001</v>
      </c>
      <c r="H393" s="1">
        <v>1</v>
      </c>
      <c r="I393" s="1">
        <v>0</v>
      </c>
      <c r="J393" s="1">
        <v>2</v>
      </c>
      <c r="K393" s="1">
        <v>1</v>
      </c>
      <c r="L393" s="1">
        <v>0</v>
      </c>
      <c r="M393" s="1">
        <v>0</v>
      </c>
      <c r="N393" s="1">
        <v>0</v>
      </c>
      <c r="O393" s="3">
        <v>2.8560385143532101</v>
      </c>
      <c r="P393" s="1">
        <v>2</v>
      </c>
      <c r="Q393" s="1" t="str">
        <f>IF(Table2[[#This Row],[GradeClass]]=4,"A",IF(Table2[[#This Row],[GradeClass]]=3,"B",IF(Table2[[#This Row],[GradeClass]]=2,"C",IF(Table2[[#This Row],[GradeClass]]=1,"D","F"))))</f>
        <v>C</v>
      </c>
    </row>
    <row r="394" spans="1:17" x14ac:dyDescent="0.3">
      <c r="A394" s="1">
        <v>1393</v>
      </c>
      <c r="B394" s="1">
        <v>18</v>
      </c>
      <c r="C394" s="1">
        <v>1</v>
      </c>
      <c r="D394" s="1" t="str">
        <f>IF(Table2[[#This Row],[Gender Code]]=1,"Male","Female")</f>
        <v>Male</v>
      </c>
      <c r="E394" s="1">
        <v>2</v>
      </c>
      <c r="F394" s="1">
        <v>3</v>
      </c>
      <c r="G394" s="2">
        <v>16.4128312070895</v>
      </c>
      <c r="H394" s="1">
        <v>24</v>
      </c>
      <c r="I394" s="1">
        <v>1</v>
      </c>
      <c r="J394" s="1">
        <v>1</v>
      </c>
      <c r="K394" s="1">
        <v>1</v>
      </c>
      <c r="L394" s="1">
        <v>0</v>
      </c>
      <c r="M394" s="1">
        <v>0</v>
      </c>
      <c r="N394" s="1">
        <v>0</v>
      </c>
      <c r="O394" s="3">
        <v>1.2061502302550899</v>
      </c>
      <c r="P394" s="1">
        <v>4</v>
      </c>
      <c r="Q394" s="1" t="str">
        <f>IF(Table2[[#This Row],[GradeClass]]=4,"A",IF(Table2[[#This Row],[GradeClass]]=3,"B",IF(Table2[[#This Row],[GradeClass]]=2,"C",IF(Table2[[#This Row],[GradeClass]]=1,"D","F"))))</f>
        <v>A</v>
      </c>
    </row>
    <row r="395" spans="1:17" x14ac:dyDescent="0.3">
      <c r="A395" s="1">
        <v>1394</v>
      </c>
      <c r="B395" s="1">
        <v>18</v>
      </c>
      <c r="C395" s="1">
        <v>1</v>
      </c>
      <c r="D395" s="1" t="str">
        <f>IF(Table2[[#This Row],[Gender Code]]=1,"Male","Female")</f>
        <v>Male</v>
      </c>
      <c r="E395" s="1">
        <v>0</v>
      </c>
      <c r="F395" s="1">
        <v>0</v>
      </c>
      <c r="G395" s="2">
        <v>0.75394780845341203</v>
      </c>
      <c r="H395" s="1">
        <v>20</v>
      </c>
      <c r="I395" s="1">
        <v>0</v>
      </c>
      <c r="J395" s="1">
        <v>1</v>
      </c>
      <c r="K395" s="1">
        <v>1</v>
      </c>
      <c r="L395" s="1">
        <v>1</v>
      </c>
      <c r="M395" s="1">
        <v>0</v>
      </c>
      <c r="N395" s="1">
        <v>0</v>
      </c>
      <c r="O395" s="3">
        <v>0.89590299039907695</v>
      </c>
      <c r="P395" s="1">
        <v>4</v>
      </c>
      <c r="Q395" s="1" t="str">
        <f>IF(Table2[[#This Row],[GradeClass]]=4,"A",IF(Table2[[#This Row],[GradeClass]]=3,"B",IF(Table2[[#This Row],[GradeClass]]=2,"C",IF(Table2[[#This Row],[GradeClass]]=1,"D","F"))))</f>
        <v>A</v>
      </c>
    </row>
    <row r="396" spans="1:17" x14ac:dyDescent="0.3">
      <c r="A396" s="1">
        <v>1395</v>
      </c>
      <c r="B396" s="1">
        <v>17</v>
      </c>
      <c r="C396" s="1">
        <v>1</v>
      </c>
      <c r="D396" s="1" t="str">
        <f>IF(Table2[[#This Row],[Gender Code]]=1,"Male","Female")</f>
        <v>Male</v>
      </c>
      <c r="E396" s="1">
        <v>3</v>
      </c>
      <c r="F396" s="1">
        <v>2</v>
      </c>
      <c r="G396" s="2">
        <v>7.3433925139004499</v>
      </c>
      <c r="H396" s="1">
        <v>26</v>
      </c>
      <c r="I396" s="1">
        <v>0</v>
      </c>
      <c r="J396" s="1">
        <v>1</v>
      </c>
      <c r="K396" s="1">
        <v>0</v>
      </c>
      <c r="L396" s="1">
        <v>0</v>
      </c>
      <c r="M396" s="1">
        <v>0</v>
      </c>
      <c r="N396" s="1">
        <v>0</v>
      </c>
      <c r="O396" s="3">
        <v>0.27319092915834198</v>
      </c>
      <c r="P396" s="1">
        <v>4</v>
      </c>
      <c r="Q396" s="1" t="str">
        <f>IF(Table2[[#This Row],[GradeClass]]=4,"A",IF(Table2[[#This Row],[GradeClass]]=3,"B",IF(Table2[[#This Row],[GradeClass]]=2,"C",IF(Table2[[#This Row],[GradeClass]]=1,"D","F"))))</f>
        <v>A</v>
      </c>
    </row>
  </sheetData>
  <conditionalFormatting sqref="P2:P396">
    <cfRule type="iconSet" priority="1">
      <iconSet iconSet="5Arrows">
        <cfvo type="percent" val="0"/>
        <cfvo type="percent" val="20"/>
        <cfvo type="percent" val="40"/>
        <cfvo type="percent" val="60"/>
        <cfvo type="percent" val="80"/>
      </iconSet>
    </cfRule>
  </conditionalFormatting>
  <conditionalFormatting sqref="Q2:Q396">
    <cfRule type="iconSet" priority="2">
      <iconSet iconSet="5Arrows">
        <cfvo type="percent" val="0"/>
        <cfvo type="percent" val="20"/>
        <cfvo type="percent" val="40"/>
        <cfvo type="percent" val="60"/>
        <cfvo type="percent" val="80"/>
      </iconSet>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0E189D-AC2C-4B5C-BD44-B6DAA8D227FD}">
  <dimension ref="B2:N20"/>
  <sheetViews>
    <sheetView workbookViewId="0">
      <selection activeCell="C21" sqref="C21"/>
    </sheetView>
  </sheetViews>
  <sheetFormatPr defaultRowHeight="14.4" x14ac:dyDescent="0.3"/>
  <cols>
    <col min="2" max="2" width="16.109375" bestFit="1" customWidth="1"/>
    <col min="3" max="3" width="12.6640625" bestFit="1" customWidth="1"/>
    <col min="6" max="6" width="16.44140625" bestFit="1" customWidth="1"/>
    <col min="7" max="7" width="12.6640625" bestFit="1" customWidth="1"/>
    <col min="8" max="8" width="13.21875" bestFit="1" customWidth="1"/>
    <col min="9" max="9" width="12.6640625" bestFit="1" customWidth="1"/>
    <col min="10" max="10" width="12" bestFit="1" customWidth="1"/>
    <col min="11" max="11" width="12.77734375" bestFit="1" customWidth="1"/>
    <col min="12" max="14" width="12.6640625" bestFit="1" customWidth="1"/>
  </cols>
  <sheetData>
    <row r="2" spans="2:14" x14ac:dyDescent="0.3">
      <c r="B2" s="5" t="s">
        <v>40</v>
      </c>
      <c r="C2" s="5"/>
      <c r="F2" s="7" t="s">
        <v>63</v>
      </c>
      <c r="G2" s="7"/>
      <c r="H2" s="7"/>
      <c r="I2" s="7"/>
      <c r="J2" s="7"/>
      <c r="K2" s="7"/>
      <c r="L2" s="7"/>
      <c r="M2" s="7"/>
      <c r="N2" s="7"/>
    </row>
    <row r="3" spans="2:14" x14ac:dyDescent="0.3">
      <c r="B3" s="6" t="s">
        <v>19</v>
      </c>
      <c r="C3" s="6"/>
      <c r="F3" s="4" t="s">
        <v>41</v>
      </c>
      <c r="G3" s="4"/>
      <c r="H3" s="4"/>
      <c r="I3" s="4"/>
      <c r="J3" s="4"/>
      <c r="K3" s="4"/>
      <c r="L3" s="4"/>
      <c r="M3" s="4"/>
      <c r="N3" s="4"/>
    </row>
    <row r="4" spans="2:14" x14ac:dyDescent="0.3">
      <c r="B4" s="5"/>
      <c r="C4" s="5"/>
      <c r="F4" s="4"/>
      <c r="G4" s="4"/>
      <c r="H4" s="4"/>
      <c r="I4" s="4"/>
      <c r="J4" s="4"/>
      <c r="K4" s="4"/>
      <c r="L4" s="4"/>
      <c r="M4" s="4"/>
      <c r="N4" s="4"/>
    </row>
    <row r="5" spans="2:14" x14ac:dyDescent="0.3">
      <c r="B5" s="5" t="s">
        <v>27</v>
      </c>
      <c r="C5" s="5">
        <v>1.9492728012466645</v>
      </c>
      <c r="F5" s="8" t="s">
        <v>42</v>
      </c>
      <c r="G5" s="8"/>
      <c r="H5" s="4"/>
      <c r="I5" s="4"/>
      <c r="J5" s="4"/>
      <c r="K5" s="4"/>
      <c r="L5" s="4"/>
      <c r="M5" s="4"/>
      <c r="N5" s="4"/>
    </row>
    <row r="6" spans="2:14" x14ac:dyDescent="0.3">
      <c r="B6" s="5" t="s">
        <v>28</v>
      </c>
      <c r="C6" s="5">
        <v>4.5493314868443144E-2</v>
      </c>
      <c r="F6" s="4" t="s">
        <v>43</v>
      </c>
      <c r="G6" s="4">
        <v>0.1006146843648687</v>
      </c>
      <c r="H6" s="4"/>
      <c r="I6" s="4"/>
      <c r="J6" s="4"/>
      <c r="K6" s="4"/>
      <c r="L6" s="4"/>
      <c r="M6" s="4"/>
      <c r="N6" s="4"/>
    </row>
    <row r="7" spans="2:14" x14ac:dyDescent="0.3">
      <c r="B7" s="5" t="s">
        <v>29</v>
      </c>
      <c r="C7" s="5">
        <v>2.00462731700748</v>
      </c>
      <c r="F7" s="4" t="s">
        <v>44</v>
      </c>
      <c r="G7" s="4">
        <v>1.0123314709842155E-2</v>
      </c>
      <c r="H7" s="4"/>
      <c r="I7" s="4"/>
      <c r="J7" s="4"/>
      <c r="K7" s="4"/>
      <c r="L7" s="4"/>
      <c r="M7" s="4"/>
      <c r="N7" s="4"/>
    </row>
    <row r="8" spans="2:14" x14ac:dyDescent="0.3">
      <c r="B8" s="5" t="s">
        <v>30</v>
      </c>
      <c r="C8" s="5" t="e">
        <v>#N/A</v>
      </c>
      <c r="F8" s="4" t="s">
        <v>45</v>
      </c>
      <c r="G8" s="4">
        <v>7.6045445182641455E-3</v>
      </c>
      <c r="H8" s="4"/>
      <c r="I8" s="4"/>
      <c r="J8" s="4"/>
      <c r="K8" s="4"/>
      <c r="L8" s="4"/>
      <c r="M8" s="4"/>
      <c r="N8" s="4"/>
    </row>
    <row r="9" spans="2:14" x14ac:dyDescent="0.3">
      <c r="B9" s="5" t="s">
        <v>31</v>
      </c>
      <c r="C9" s="5">
        <v>0.9041617502411432</v>
      </c>
      <c r="F9" s="4" t="s">
        <v>28</v>
      </c>
      <c r="G9" s="4">
        <v>5.6015259299643461</v>
      </c>
      <c r="H9" s="4"/>
      <c r="I9" s="4"/>
      <c r="J9" s="4"/>
      <c r="K9" s="4"/>
      <c r="L9" s="4"/>
      <c r="M9" s="4"/>
      <c r="N9" s="4"/>
    </row>
    <row r="10" spans="2:14" x14ac:dyDescent="0.3">
      <c r="B10" s="5" t="s">
        <v>32</v>
      </c>
      <c r="C10" s="5">
        <v>0.81750847059912746</v>
      </c>
      <c r="F10" s="4" t="s">
        <v>46</v>
      </c>
      <c r="G10" s="4">
        <v>395</v>
      </c>
      <c r="H10" s="4"/>
      <c r="I10" s="4"/>
      <c r="J10" s="4"/>
      <c r="K10" s="4"/>
      <c r="L10" s="4"/>
      <c r="M10" s="4"/>
      <c r="N10" s="4"/>
    </row>
    <row r="11" spans="2:14" x14ac:dyDescent="0.3">
      <c r="B11" s="5" t="s">
        <v>33</v>
      </c>
      <c r="C11" s="5">
        <v>-0.92411258600192081</v>
      </c>
      <c r="F11" s="4"/>
      <c r="G11" s="4"/>
      <c r="H11" s="4"/>
      <c r="I11" s="4"/>
      <c r="J11" s="4"/>
      <c r="K11" s="4"/>
      <c r="L11" s="4"/>
      <c r="M11" s="4"/>
      <c r="N11" s="4"/>
    </row>
    <row r="12" spans="2:14" x14ac:dyDescent="0.3">
      <c r="B12" s="5" t="s">
        <v>34</v>
      </c>
      <c r="C12" s="5">
        <v>-7.9504004172915643E-2</v>
      </c>
      <c r="F12" s="4" t="s">
        <v>47</v>
      </c>
      <c r="G12" s="4"/>
      <c r="H12" s="4"/>
      <c r="I12" s="4"/>
      <c r="J12" s="4"/>
      <c r="K12" s="4"/>
      <c r="L12" s="4"/>
      <c r="M12" s="4"/>
      <c r="N12" s="4"/>
    </row>
    <row r="13" spans="2:14" x14ac:dyDescent="0.3">
      <c r="B13" s="5" t="s">
        <v>35</v>
      </c>
      <c r="C13" s="5">
        <v>4</v>
      </c>
      <c r="F13" s="9"/>
      <c r="G13" s="9" t="s">
        <v>52</v>
      </c>
      <c r="H13" s="9" t="s">
        <v>53</v>
      </c>
      <c r="I13" s="9" t="s">
        <v>2</v>
      </c>
      <c r="J13" s="9" t="s">
        <v>0</v>
      </c>
      <c r="K13" s="9" t="s">
        <v>54</v>
      </c>
      <c r="L13" s="4"/>
      <c r="M13" s="4"/>
      <c r="N13" s="4"/>
    </row>
    <row r="14" spans="2:14" x14ac:dyDescent="0.3">
      <c r="B14" s="5" t="s">
        <v>36</v>
      </c>
      <c r="C14" s="5">
        <v>0</v>
      </c>
      <c r="F14" s="4" t="s">
        <v>48</v>
      </c>
      <c r="G14" s="4">
        <v>1</v>
      </c>
      <c r="H14" s="4">
        <v>126.10923600340539</v>
      </c>
      <c r="I14" s="4">
        <v>126.10923600340539</v>
      </c>
      <c r="J14" s="4">
        <v>4.0191497992517924</v>
      </c>
      <c r="K14" s="4">
        <v>4.5671826808256162E-2</v>
      </c>
      <c r="L14" s="4"/>
      <c r="M14" s="4"/>
      <c r="N14" s="4"/>
    </row>
    <row r="15" spans="2:14" x14ac:dyDescent="0.3">
      <c r="B15" s="5" t="s">
        <v>37</v>
      </c>
      <c r="C15" s="5">
        <v>4</v>
      </c>
      <c r="F15" s="4" t="s">
        <v>49</v>
      </c>
      <c r="G15" s="4">
        <v>393</v>
      </c>
      <c r="H15" s="4">
        <v>12331.197448416731</v>
      </c>
      <c r="I15" s="4">
        <v>31.377092744062928</v>
      </c>
      <c r="J15" s="4"/>
      <c r="K15" s="4"/>
      <c r="L15" s="4"/>
      <c r="M15" s="4"/>
      <c r="N15" s="4"/>
    </row>
    <row r="16" spans="2:14" x14ac:dyDescent="0.3">
      <c r="B16" s="5" t="s">
        <v>38</v>
      </c>
      <c r="C16" s="5">
        <v>769.9627564924325</v>
      </c>
      <c r="F16" s="4" t="s">
        <v>50</v>
      </c>
      <c r="G16" s="4">
        <v>394</v>
      </c>
      <c r="H16" s="4">
        <v>12457.306684420137</v>
      </c>
      <c r="I16" s="4"/>
      <c r="J16" s="4"/>
      <c r="K16" s="4"/>
      <c r="L16" s="4"/>
      <c r="M16" s="4"/>
      <c r="N16" s="4"/>
    </row>
    <row r="17" spans="2:14" x14ac:dyDescent="0.3">
      <c r="B17" s="5" t="s">
        <v>39</v>
      </c>
      <c r="C17" s="5">
        <v>395</v>
      </c>
      <c r="F17" s="4"/>
      <c r="G17" s="4"/>
      <c r="H17" s="4"/>
      <c r="I17" s="4"/>
      <c r="J17" s="4"/>
      <c r="K17" s="4"/>
      <c r="L17" s="4"/>
      <c r="M17" s="4"/>
      <c r="N17" s="4"/>
    </row>
    <row r="18" spans="2:14" x14ac:dyDescent="0.3">
      <c r="F18" s="9"/>
      <c r="G18" s="9" t="s">
        <v>55</v>
      </c>
      <c r="H18" s="9" t="s">
        <v>28</v>
      </c>
      <c r="I18" s="9" t="s">
        <v>56</v>
      </c>
      <c r="J18" s="9" t="s">
        <v>57</v>
      </c>
      <c r="K18" s="9" t="s">
        <v>58</v>
      </c>
      <c r="L18" s="9" t="s">
        <v>59</v>
      </c>
      <c r="M18" s="9" t="s">
        <v>60</v>
      </c>
      <c r="N18" s="9" t="s">
        <v>61</v>
      </c>
    </row>
    <row r="19" spans="2:14" x14ac:dyDescent="0.3">
      <c r="F19" s="4" t="s">
        <v>51</v>
      </c>
      <c r="G19" s="4">
        <v>11.101774118841371</v>
      </c>
      <c r="H19" s="4">
        <v>0.77598742417098798</v>
      </c>
      <c r="I19" s="4">
        <v>14.306641799899978</v>
      </c>
      <c r="J19" s="4">
        <v>1.1405388174207233E-37</v>
      </c>
      <c r="K19" s="4">
        <v>9.5761683979858834</v>
      </c>
      <c r="L19" s="4">
        <v>12.627379839696859</v>
      </c>
      <c r="M19" s="4">
        <v>9.5761683979858834</v>
      </c>
      <c r="N19" s="4">
        <v>12.627379839696859</v>
      </c>
    </row>
    <row r="20" spans="2:14" x14ac:dyDescent="0.3">
      <c r="F20" s="4" t="s">
        <v>62</v>
      </c>
      <c r="G20" s="4">
        <v>-0.48192853808782021</v>
      </c>
      <c r="H20" s="4">
        <v>0.24038952970198835</v>
      </c>
      <c r="I20" s="4">
        <v>-2.0047817335691307</v>
      </c>
      <c r="J20" s="4">
        <v>4.5671826808239474E-2</v>
      </c>
      <c r="K20" s="4">
        <v>-0.95453882831116132</v>
      </c>
      <c r="L20" s="4">
        <v>-9.3182478644791567E-3</v>
      </c>
      <c r="M20" s="4">
        <v>-0.95453882831116132</v>
      </c>
      <c r="N20" s="4">
        <v>-9.3182478644791567E-3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49939-C746-4FF7-9B9E-39053DF35BEE}">
  <dimension ref="B2:Q31"/>
  <sheetViews>
    <sheetView workbookViewId="0">
      <selection activeCell="C2" sqref="C2"/>
    </sheetView>
  </sheetViews>
  <sheetFormatPr defaultRowHeight="14.4" x14ac:dyDescent="0.3"/>
  <cols>
    <col min="1" max="1" width="12.44140625" bestFit="1" customWidth="1"/>
    <col min="2" max="2" width="10.5546875" bestFit="1" customWidth="1"/>
    <col min="3" max="3" width="13.44140625" bestFit="1" customWidth="1"/>
    <col min="4" max="4" width="5" bestFit="1" customWidth="1"/>
    <col min="5" max="5" width="10.5546875" bestFit="1" customWidth="1"/>
    <col min="6" max="6" width="19" bestFit="1" customWidth="1"/>
    <col min="7" max="7" width="13.44140625" bestFit="1" customWidth="1"/>
    <col min="8" max="8" width="5" bestFit="1" customWidth="1"/>
    <col min="9" max="9" width="10.5546875" bestFit="1" customWidth="1"/>
    <col min="11" max="11" width="10.5546875" bestFit="1" customWidth="1"/>
    <col min="12" max="12" width="16.5546875" bestFit="1" customWidth="1"/>
    <col min="13" max="16" width="4.5546875" bestFit="1" customWidth="1"/>
    <col min="17" max="17" width="10.5546875" bestFit="1" customWidth="1"/>
  </cols>
  <sheetData>
    <row r="2" spans="2:12" x14ac:dyDescent="0.3">
      <c r="B2" s="10" t="s">
        <v>103</v>
      </c>
      <c r="C2" t="s">
        <v>67</v>
      </c>
      <c r="F2" s="10" t="s">
        <v>67</v>
      </c>
      <c r="G2" s="10" t="s">
        <v>5</v>
      </c>
      <c r="K2" s="10" t="s">
        <v>20</v>
      </c>
      <c r="L2" t="s">
        <v>92</v>
      </c>
    </row>
    <row r="3" spans="2:12" x14ac:dyDescent="0.3">
      <c r="B3" s="11" t="s">
        <v>68</v>
      </c>
      <c r="C3" s="12">
        <v>1.8144859785214529</v>
      </c>
      <c r="F3" s="10" t="s">
        <v>104</v>
      </c>
      <c r="G3" t="s">
        <v>65</v>
      </c>
      <c r="H3" t="s">
        <v>66</v>
      </c>
      <c r="I3" t="s">
        <v>64</v>
      </c>
      <c r="K3" s="11" t="s">
        <v>1</v>
      </c>
      <c r="L3">
        <v>197</v>
      </c>
    </row>
    <row r="4" spans="2:12" x14ac:dyDescent="0.3">
      <c r="B4" s="11" t="s">
        <v>69</v>
      </c>
      <c r="C4" s="12">
        <v>1.5860774686759247</v>
      </c>
      <c r="F4" s="11">
        <v>0</v>
      </c>
      <c r="G4" s="12">
        <v>2.0685127441165054</v>
      </c>
      <c r="H4" s="12">
        <v>1.9299536909548114</v>
      </c>
      <c r="I4" s="12">
        <v>2.0005655161237521</v>
      </c>
      <c r="K4" s="11" t="s">
        <v>109</v>
      </c>
      <c r="L4">
        <v>68</v>
      </c>
    </row>
    <row r="5" spans="2:12" x14ac:dyDescent="0.3">
      <c r="B5" s="11" t="s">
        <v>70</v>
      </c>
      <c r="C5" s="12">
        <v>1.9318726538999642</v>
      </c>
      <c r="F5" s="11">
        <v>1</v>
      </c>
      <c r="G5" s="12">
        <v>1.8674539269615882</v>
      </c>
      <c r="H5" s="12">
        <v>2.0792465533689732</v>
      </c>
      <c r="I5" s="12">
        <v>1.9763758491139563</v>
      </c>
      <c r="K5" s="11" t="s">
        <v>110</v>
      </c>
      <c r="L5">
        <v>78</v>
      </c>
    </row>
    <row r="6" spans="2:12" x14ac:dyDescent="0.3">
      <c r="B6" s="11" t="s">
        <v>71</v>
      </c>
      <c r="C6" s="12">
        <v>1.5978080754809747</v>
      </c>
      <c r="F6" s="11">
        <v>2</v>
      </c>
      <c r="G6" s="12">
        <v>1.9157272909862495</v>
      </c>
      <c r="H6" s="12">
        <v>1.8912622150059362</v>
      </c>
      <c r="I6" s="12">
        <v>1.9011721192004922</v>
      </c>
      <c r="K6" s="11" t="s">
        <v>111</v>
      </c>
      <c r="L6">
        <v>40</v>
      </c>
    </row>
    <row r="7" spans="2:12" x14ac:dyDescent="0.3">
      <c r="B7" s="11" t="s">
        <v>72</v>
      </c>
      <c r="C7" s="12">
        <v>2.1690814861659589</v>
      </c>
      <c r="F7" s="11">
        <v>3</v>
      </c>
      <c r="G7" s="12">
        <v>1.6749695286079744</v>
      </c>
      <c r="H7" s="12">
        <v>1.7538923951209806</v>
      </c>
      <c r="I7" s="12">
        <v>1.7185847969441099</v>
      </c>
      <c r="K7" s="11" t="s">
        <v>0</v>
      </c>
      <c r="L7">
        <v>12</v>
      </c>
    </row>
    <row r="8" spans="2:12" x14ac:dyDescent="0.3">
      <c r="B8" s="11" t="s">
        <v>73</v>
      </c>
      <c r="C8" s="12">
        <v>2.0322458711697484</v>
      </c>
      <c r="F8" s="11" t="s">
        <v>64</v>
      </c>
      <c r="G8" s="12">
        <v>1.9710769295816881</v>
      </c>
      <c r="H8" s="12">
        <v>1.9292680427256974</v>
      </c>
      <c r="I8" s="12">
        <v>1.9492728012466645</v>
      </c>
      <c r="K8" s="11" t="s">
        <v>64</v>
      </c>
      <c r="L8">
        <v>395</v>
      </c>
    </row>
    <row r="9" spans="2:12" x14ac:dyDescent="0.3">
      <c r="B9" s="11" t="s">
        <v>74</v>
      </c>
      <c r="C9" s="12">
        <v>1.912389319779676</v>
      </c>
    </row>
    <row r="10" spans="2:12" x14ac:dyDescent="0.3">
      <c r="B10" s="11" t="s">
        <v>75</v>
      </c>
      <c r="C10" s="12">
        <v>2.0875930504794344</v>
      </c>
    </row>
    <row r="11" spans="2:12" x14ac:dyDescent="0.3">
      <c r="B11" s="11" t="s">
        <v>76</v>
      </c>
      <c r="C11" s="12">
        <v>1.8086421247956612</v>
      </c>
      <c r="F11" s="10" t="s">
        <v>105</v>
      </c>
      <c r="G11" t="s">
        <v>67</v>
      </c>
    </row>
    <row r="12" spans="2:12" x14ac:dyDescent="0.3">
      <c r="B12" s="11" t="s">
        <v>77</v>
      </c>
      <c r="C12" s="12">
        <v>1.8433321132322111</v>
      </c>
      <c r="F12" s="11">
        <v>0</v>
      </c>
      <c r="G12" s="12">
        <v>1.9448005025950406</v>
      </c>
      <c r="K12" s="10" t="s">
        <v>107</v>
      </c>
      <c r="L12" t="s">
        <v>67</v>
      </c>
    </row>
    <row r="13" spans="2:12" x14ac:dyDescent="0.3">
      <c r="B13" s="11" t="s">
        <v>78</v>
      </c>
      <c r="C13" s="12">
        <v>1.8606611779305029</v>
      </c>
      <c r="F13" s="11">
        <v>1</v>
      </c>
      <c r="G13" s="12">
        <v>1.8994547299971514</v>
      </c>
      <c r="K13" s="11">
        <v>0</v>
      </c>
      <c r="L13" s="12">
        <v>1.9311031324073498</v>
      </c>
    </row>
    <row r="14" spans="2:12" x14ac:dyDescent="0.3">
      <c r="B14" s="11" t="s">
        <v>79</v>
      </c>
      <c r="C14" s="12">
        <v>1.9406500353180991</v>
      </c>
      <c r="F14" s="11">
        <v>2</v>
      </c>
      <c r="G14" s="12">
        <v>2.0934743429992606</v>
      </c>
      <c r="K14" s="11">
        <v>1</v>
      </c>
      <c r="L14" s="12">
        <v>1.9929739875067407</v>
      </c>
    </row>
    <row r="15" spans="2:12" x14ac:dyDescent="0.3">
      <c r="B15" s="11" t="s">
        <v>80</v>
      </c>
      <c r="C15" s="12">
        <v>1.6272898166390597</v>
      </c>
      <c r="F15" s="11">
        <v>3</v>
      </c>
      <c r="G15" s="12">
        <v>1.7987284030628961</v>
      </c>
      <c r="K15" s="11" t="s">
        <v>64</v>
      </c>
      <c r="L15" s="12">
        <v>1.9492728012466649</v>
      </c>
    </row>
    <row r="16" spans="2:12" x14ac:dyDescent="0.3">
      <c r="B16" s="11" t="s">
        <v>81</v>
      </c>
      <c r="C16" s="12">
        <v>2.0412838593204592</v>
      </c>
      <c r="F16" s="11">
        <v>4</v>
      </c>
      <c r="G16" s="12">
        <v>1.6256395649715849</v>
      </c>
    </row>
    <row r="17" spans="2:17" x14ac:dyDescent="0.3">
      <c r="B17" s="11" t="s">
        <v>82</v>
      </c>
      <c r="C17" s="12">
        <v>1.8475540763021623</v>
      </c>
      <c r="F17" s="11" t="s">
        <v>64</v>
      </c>
      <c r="G17" s="12">
        <v>1.9492728012466654</v>
      </c>
    </row>
    <row r="18" spans="2:17" x14ac:dyDescent="0.3">
      <c r="B18" s="11" t="s">
        <v>83</v>
      </c>
      <c r="C18" s="12">
        <v>1.5806260480483514</v>
      </c>
    </row>
    <row r="19" spans="2:17" x14ac:dyDescent="0.3">
      <c r="B19" s="11" t="s">
        <v>84</v>
      </c>
      <c r="C19" s="12">
        <v>1.9545470725181981</v>
      </c>
    </row>
    <row r="20" spans="2:17" x14ac:dyDescent="0.3">
      <c r="B20" s="11" t="s">
        <v>85</v>
      </c>
      <c r="C20" s="12">
        <v>2.140083757500653</v>
      </c>
      <c r="F20" s="10" t="s">
        <v>106</v>
      </c>
      <c r="G20" t="s">
        <v>92</v>
      </c>
      <c r="H20" t="s">
        <v>67</v>
      </c>
      <c r="K20" s="10" t="s">
        <v>67</v>
      </c>
      <c r="L20" s="10" t="s">
        <v>108</v>
      </c>
    </row>
    <row r="21" spans="2:17" x14ac:dyDescent="0.3">
      <c r="B21" s="11" t="s">
        <v>86</v>
      </c>
      <c r="C21" s="12">
        <v>2.1293054286007282</v>
      </c>
      <c r="F21" s="11" t="s">
        <v>93</v>
      </c>
      <c r="G21">
        <v>43</v>
      </c>
      <c r="H21" s="12">
        <v>3.1338884706810863</v>
      </c>
      <c r="K21" s="10" t="s">
        <v>10</v>
      </c>
      <c r="L21">
        <v>0</v>
      </c>
      <c r="M21">
        <v>1</v>
      </c>
      <c r="N21">
        <v>2</v>
      </c>
      <c r="O21">
        <v>3</v>
      </c>
      <c r="P21">
        <v>4</v>
      </c>
      <c r="Q21" t="s">
        <v>64</v>
      </c>
    </row>
    <row r="22" spans="2:17" x14ac:dyDescent="0.3">
      <c r="B22" s="11" t="s">
        <v>87</v>
      </c>
      <c r="C22" s="12">
        <v>1.8873788177365411</v>
      </c>
      <c r="F22" s="11" t="s">
        <v>94</v>
      </c>
      <c r="G22">
        <v>42</v>
      </c>
      <c r="H22" s="12">
        <v>2.9963163494079548</v>
      </c>
      <c r="K22" s="11">
        <v>0</v>
      </c>
      <c r="L22" s="12">
        <v>1.4348599888284126</v>
      </c>
      <c r="M22" s="12">
        <v>1.6565383125242958</v>
      </c>
      <c r="N22" s="12">
        <v>1.9270606544008548</v>
      </c>
      <c r="O22" s="12">
        <v>1.9449454111813813</v>
      </c>
      <c r="P22" s="12">
        <v>2.2166060708469839</v>
      </c>
      <c r="Q22" s="12">
        <v>1.8812452062349567</v>
      </c>
    </row>
    <row r="23" spans="2:17" x14ac:dyDescent="0.3">
      <c r="B23" s="11" t="s">
        <v>88</v>
      </c>
      <c r="C23" s="12">
        <v>1.9637285324429323</v>
      </c>
      <c r="F23" s="11" t="s">
        <v>95</v>
      </c>
      <c r="G23">
        <v>39</v>
      </c>
      <c r="H23" s="12">
        <v>2.6063706545983463</v>
      </c>
      <c r="K23" s="11">
        <v>1</v>
      </c>
      <c r="L23" s="12">
        <v>1.3891134500214231</v>
      </c>
      <c r="M23" s="12">
        <v>1.7876045495803923</v>
      </c>
      <c r="N23" s="12">
        <v>2.1648450730969375</v>
      </c>
      <c r="O23" s="12">
        <v>2.3106282268749854</v>
      </c>
      <c r="P23" s="12">
        <v>2.9524390609546476</v>
      </c>
      <c r="Q23" s="12">
        <v>2.1128908961455144</v>
      </c>
    </row>
    <row r="24" spans="2:17" x14ac:dyDescent="0.3">
      <c r="B24" s="11" t="s">
        <v>89</v>
      </c>
      <c r="C24" s="12">
        <v>1.9139697608498862</v>
      </c>
      <c r="F24" s="11" t="s">
        <v>96</v>
      </c>
      <c r="G24">
        <v>44</v>
      </c>
      <c r="H24" s="12">
        <v>2.3716973832227555</v>
      </c>
      <c r="K24" s="11" t="s">
        <v>64</v>
      </c>
      <c r="L24" s="12">
        <v>1.4234233541266652</v>
      </c>
      <c r="M24" s="12">
        <v>1.7099356683619646</v>
      </c>
      <c r="N24" s="12">
        <v>1.9875875973416757</v>
      </c>
      <c r="O24" s="12">
        <v>2.0543623166645055</v>
      </c>
      <c r="P24" s="12">
        <v>2.3637726688685166</v>
      </c>
      <c r="Q24" s="12">
        <v>1.9492728012466649</v>
      </c>
    </row>
    <row r="25" spans="2:17" x14ac:dyDescent="0.3">
      <c r="B25" s="11" t="s">
        <v>90</v>
      </c>
      <c r="C25" s="12">
        <v>2.4183549754969729</v>
      </c>
      <c r="F25" s="11" t="s">
        <v>97</v>
      </c>
      <c r="G25">
        <v>45</v>
      </c>
      <c r="H25" s="12">
        <v>2.0526585926583052</v>
      </c>
    </row>
    <row r="26" spans="2:17" x14ac:dyDescent="0.3">
      <c r="B26" s="11" t="s">
        <v>91</v>
      </c>
      <c r="C26" s="12">
        <v>2.4182206320844841</v>
      </c>
      <c r="F26" s="11" t="s">
        <v>98</v>
      </c>
      <c r="G26">
        <v>41</v>
      </c>
      <c r="H26" s="12">
        <v>1.6883779294739107</v>
      </c>
    </row>
    <row r="27" spans="2:17" x14ac:dyDescent="0.3">
      <c r="B27" s="11" t="s">
        <v>64</v>
      </c>
      <c r="C27" s="12">
        <v>1.9492728012466649</v>
      </c>
      <c r="F27" s="11" t="s">
        <v>99</v>
      </c>
      <c r="G27">
        <v>37</v>
      </c>
      <c r="H27" s="12">
        <v>1.4365349113727894</v>
      </c>
    </row>
    <row r="28" spans="2:17" x14ac:dyDescent="0.3">
      <c r="F28" s="11" t="s">
        <v>100</v>
      </c>
      <c r="G28">
        <v>41</v>
      </c>
      <c r="H28" s="12">
        <v>1.1031218342612432</v>
      </c>
    </row>
    <row r="29" spans="2:17" x14ac:dyDescent="0.3">
      <c r="B29" s="11"/>
      <c r="F29" s="11" t="s">
        <v>101</v>
      </c>
      <c r="G29">
        <v>36</v>
      </c>
      <c r="H29" s="12">
        <v>0.73293662174251306</v>
      </c>
      <c r="L29" s="13"/>
    </row>
    <row r="30" spans="2:17" x14ac:dyDescent="0.3">
      <c r="F30" s="11" t="s">
        <v>102</v>
      </c>
      <c r="G30">
        <v>27</v>
      </c>
      <c r="H30" s="12">
        <v>0.62957363335504379</v>
      </c>
    </row>
    <row r="31" spans="2:17" x14ac:dyDescent="0.3">
      <c r="F31" s="11" t="s">
        <v>64</v>
      </c>
      <c r="G31">
        <v>395</v>
      </c>
      <c r="H31" s="12">
        <v>1.9492728012466631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5CD695-069F-427E-B03F-CB1BA40B9DCB}">
  <dimension ref="A1"/>
  <sheetViews>
    <sheetView tabSelected="1" zoomScale="50" zoomScaleNormal="50" workbookViewId="0">
      <selection activeCell="AJ44" sqref="AJ44"/>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 data</vt:lpstr>
      <vt:lpstr>Clean Data</vt:lpstr>
      <vt:lpstr>Data Analysis</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Devanshi Bacchhote</dc:creator>
  <cp:lastModifiedBy>Devanshi Bacchhote</cp:lastModifiedBy>
  <dcterms:created xsi:type="dcterms:W3CDTF">2026-03-19T04:41:46Z</dcterms:created>
  <dcterms:modified xsi:type="dcterms:W3CDTF">2026-03-20T05:29:31Z</dcterms:modified>
</cp:coreProperties>
</file>