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a4ce7d2feaf9b2/Desktop/Excel_DA_DS/"/>
    </mc:Choice>
  </mc:AlternateContent>
  <xr:revisionPtr revIDLastSave="381" documentId="8_{55D4FD58-69C4-43F6-B23D-D5AF28CD36D5}" xr6:coauthVersionLast="47" xr6:coauthVersionMax="47" xr10:uidLastSave="{7C0BEF5F-87BD-4536-942C-C17C9A81C2B4}"/>
  <bookViews>
    <workbookView xWindow="-108" yWindow="-108" windowWidth="23256" windowHeight="12456" activeTab="1" xr2:uid="{0EB669B7-8E6B-483E-A6C2-D28C22E3C9F9}"/>
  </bookViews>
  <sheets>
    <sheet name="Student Grade" sheetId="1" r:id="rId1"/>
    <sheet name="Sales Data" sheetId="2" r:id="rId2"/>
    <sheet name="Employee Data" sheetId="3" r:id="rId3"/>
  </sheets>
  <definedNames>
    <definedName name="Salary">Table3[[#All],[Salary]]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" l="1"/>
  <c r="E26" i="3"/>
  <c r="B28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G27" i="2"/>
  <c r="D27" i="2"/>
  <c r="G23" i="2"/>
  <c r="B24" i="3"/>
  <c r="C29" i="1"/>
  <c r="G27" i="1"/>
  <c r="C27" i="1"/>
  <c r="G25" i="1"/>
  <c r="E24" i="3"/>
  <c r="G25" i="2" a="1"/>
  <c r="G25" i="2" s="1"/>
  <c r="D25" i="2"/>
  <c r="C25" i="1"/>
  <c r="D23" i="2"/>
  <c r="C23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K12" i="1"/>
  <c r="K13" i="1"/>
  <c r="K14" i="1"/>
  <c r="K15" i="1"/>
  <c r="I2" i="1"/>
  <c r="J2" i="1" s="1"/>
  <c r="K2" i="1" s="1"/>
  <c r="I3" i="1"/>
  <c r="J3" i="1" s="1"/>
  <c r="K3" i="1" s="1"/>
  <c r="I4" i="1"/>
  <c r="J4" i="1" s="1"/>
  <c r="K4" i="1" s="1"/>
  <c r="I5" i="1"/>
  <c r="J5" i="1" s="1"/>
  <c r="K5" i="1" s="1"/>
  <c r="I6" i="1"/>
  <c r="J6" i="1" s="1"/>
  <c r="K6" i="1" s="1"/>
  <c r="I7" i="1"/>
  <c r="J7" i="1" s="1"/>
  <c r="K7" i="1" s="1"/>
  <c r="I8" i="1"/>
  <c r="J8" i="1" s="1"/>
  <c r="K8" i="1" s="1"/>
  <c r="I9" i="1"/>
  <c r="J9" i="1" s="1"/>
  <c r="K9" i="1" s="1"/>
  <c r="I10" i="1"/>
  <c r="J10" i="1" s="1"/>
  <c r="K10" i="1" s="1"/>
  <c r="I11" i="1"/>
  <c r="J11" i="1" s="1"/>
  <c r="K11" i="1" s="1"/>
  <c r="I12" i="1"/>
  <c r="J12" i="1" s="1"/>
  <c r="I13" i="1"/>
  <c r="J13" i="1" s="1"/>
  <c r="I14" i="1"/>
  <c r="J14" i="1" s="1"/>
  <c r="I15" i="1"/>
  <c r="J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B26" i="3"/>
  <c r="G23" i="1" l="1"/>
  <c r="G30" i="1" a="1"/>
  <c r="G3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<sst xmlns="http://schemas.openxmlformats.org/spreadsheetml/2006/main" count="187" uniqueCount="139">
  <si>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</si>
  <si>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</si>
  <si>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</si>
  <si>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</si>
  <si>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</si>
  <si>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</si>
  <si>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</si>
  <si>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</si>
  <si>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</si>
  <si>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</si>
  <si>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</si>
  <si>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</si>
  <si>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</si>
  <si>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</si>
  <si>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</si>
  <si>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</si>
  <si>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</si>
  <si>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</si>
  <si>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</si>
  <si>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</si>
  <si>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</si>
  <si>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</si>
  <si>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</si>
  <si>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</si>
  <si>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</si>
  <si>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</si>
  <si>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</si>
  <si>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</si>
  <si>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</si>
  <si>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</si>
  <si>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</si>
  <si>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</si>
  <si>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</si>
  <si>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</si>
  <si>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</si>
  <si>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</si>
  <si>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</si>
  <si>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</si>
  <si>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</si>
  <si>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</si>
  <si>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</si>
  <si>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</si>
  <si>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</si>
  <si>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</si>
  <si>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</si>
  <si>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</si>
  <si>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</si>
  <si>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</si>
  <si>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</si>
  <si>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</si>
  <si>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</si>
  <si>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</si>
  <si>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</si>
  <si>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</si>
  <si>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</si>
  <si>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</si>
  <si>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</si>
  <si>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</si>
  <si>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</si>
  <si>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</si>
  <si>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</si>
  <si>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</si>
  <si>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</si>
  <si>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</si>
  <si>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</si>
  <si>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</si>
  <si>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</si>
  <si>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</si>
  <si>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</si>
  <si>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</si>
  <si>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</si>
  <si>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</si>
  <si>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</si>
  <si>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</si>
  <si>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</si>
  <si>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</si>
  <si>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</si>
  <si>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</si>
  <si>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</si>
  <si>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</si>
  <si>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</si>
  <si>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</si>
  <si>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</si>
  <si>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</si>
  <si>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</si>
  <si>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</si>
  <si>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</si>
  <si>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</si>
  <si>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</si>
  <si>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Total marks</t>
  </si>
  <si>
    <t>Percentage</t>
  </si>
  <si>
    <t>Grade</t>
  </si>
  <si>
    <t>Discount Rate</t>
  </si>
  <si>
    <t>Score in Maths&amp;Sci</t>
  </si>
  <si>
    <t>Discount type</t>
  </si>
  <si>
    <t>Total students who have score above 50 in maths</t>
  </si>
  <si>
    <t>Sales of keyboard in south</t>
  </si>
  <si>
    <t>average of score who have marks &gt;60</t>
  </si>
  <si>
    <t>student name base in id 1010</t>
  </si>
  <si>
    <t>Product code</t>
  </si>
  <si>
    <t>PC1010234</t>
  </si>
  <si>
    <t>PC1010235</t>
  </si>
  <si>
    <t>PC1010236</t>
  </si>
  <si>
    <t>PC1010237</t>
  </si>
  <si>
    <t>PC1010238</t>
  </si>
  <si>
    <t>PC1010239</t>
  </si>
  <si>
    <t>PC1010240</t>
  </si>
  <si>
    <t>PC1010241</t>
  </si>
  <si>
    <t>PC1010242</t>
  </si>
  <si>
    <t>PC1010243</t>
  </si>
  <si>
    <t>PC1010244</t>
  </si>
  <si>
    <t>PC1010245</t>
  </si>
  <si>
    <t>PC1010246</t>
  </si>
  <si>
    <t>PC1010247</t>
  </si>
  <si>
    <t>PC1010248</t>
  </si>
  <si>
    <t>PC1010249</t>
  </si>
  <si>
    <t>PC1010250</t>
  </si>
  <si>
    <t>PC1010251</t>
  </si>
  <si>
    <t>PC1010252</t>
  </si>
  <si>
    <t>PC1010253</t>
  </si>
  <si>
    <t>Price of product pc1010246</t>
  </si>
  <si>
    <t>value of saleman person 7, for month 5</t>
  </si>
  <si>
    <t>Extract first name from full name of student13</t>
  </si>
  <si>
    <t>Upper case of student name</t>
  </si>
  <si>
    <t>lower case of student name</t>
  </si>
  <si>
    <t>Finding  letter e in student name</t>
  </si>
  <si>
    <t>Best sale performer</t>
  </si>
  <si>
    <t>salary of employee 10(Index match)</t>
  </si>
  <si>
    <t>salary of employee 14 (xlookup)</t>
  </si>
  <si>
    <t xml:space="preserve">Finding position of product printer </t>
  </si>
  <si>
    <t>Sum of salaries</t>
  </si>
  <si>
    <t>sum of top 3 sales trend(offset)</t>
  </si>
  <si>
    <t>Date of birth</t>
  </si>
  <si>
    <t>Age</t>
  </si>
  <si>
    <t>Working days</t>
  </si>
  <si>
    <t>Round() of 234.8745678</t>
  </si>
  <si>
    <t>celing of 234.8745678 by 3</t>
  </si>
  <si>
    <t>floor of 234.8745678 by 3</t>
  </si>
  <si>
    <t>Top perfomers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</si>
</sst>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Consolas"/>
      <family val="3"/>
    </font>
    <font>
      <sz val="10"/>
      <color theme="1"/>
      <name val="Arial Unicode MS"/>
    </font>
    <font>
      <sz val="8"/>
      <color theme="1"/>
      <name val="Aptos Narrow"/>
      <family val="2"/>
      <scheme val="minor"/>
    </font>
    <font>
      <b/>
      <sz val="11"/>
      <color theme="3"/>
      <name val="Calibr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2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2" fontId="2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10" fontId="2" fillId="0" borderId="9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15" fontId="7" fillId="0" borderId="8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5" fontId="7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22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  <xf numFmtId="0" fontId="2" fillId="0" borderId="6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0" fontId="3" fillId="3" borderId="10" xfId="0" applyFont="1" applyFill="1" applyBorder="1" applyAlignment="1">
      <alignment wrapText="1"/>
    </xf>
    <xf numFmtId="0" fontId="8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7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₹&quot;\ 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9511A-EAA8-4BA8-B43C-099F8162FEE5}" name="Table1" displayName="Table1" ref="A1:L21" totalsRowShown="0" headerRowDxfId="0" dataDxfId="39" headerRowBorderDxfId="21" tableBorderDxfId="35" totalsRowBorderDxfId="34">
  <autoFilter ref="A1:L21" xr:uid="{8F19511A-EAA8-4BA8-B43C-099F8162FEE5}"/>
  <tableColumns count="12">
    <tableColumn id="1" xr3:uid="{A5CA38D8-6110-442D-87AD-6CA87C7D6746}" name="Student ID" dataDxfId="33"/>
    <tableColumn id="2" xr3:uid="{B14A1024-A688-4BCE-9676-C47F06A8C61E}" name="Name" dataDxfId="32"/>
    <tableColumn id="11" xr3:uid="{0EEDB14E-6A43-45F0-9730-E85D8A974541}" name="Date of birth" dataDxfId="31"/>
    <tableColumn id="12" xr3:uid="{122CAE01-7CEA-4344-BCA2-22CC87315E0D}" name="Age" dataDxfId="30">
      <calculatedColumnFormula>DATEDIF(C2,TODAY(),"Y")</calculatedColumnFormula>
    </tableColumn>
    <tableColumn id="3" xr3:uid="{E055EC42-3317-42CF-B739-AA452FA4A728}" name="Math" dataDxfId="29"/>
    <tableColumn id="4" xr3:uid="{5E67629A-4810-4D1D-8173-49DA1493E376}" name="Science" dataDxfId="28"/>
    <tableColumn id="5" xr3:uid="{2BEB5A6A-F6C7-4D4E-800B-40BAED6ECB0E}" name="English" dataDxfId="27"/>
    <tableColumn id="6" xr3:uid="{B62AA7EA-58D7-4A37-BFC7-C69970AC6584}" name="Enrollment Date" dataDxfId="26"/>
    <tableColumn id="7" xr3:uid="{90626E5A-A13D-4F2A-B9B3-4E0CA428DE34}" name="Total marks" dataDxfId="25">
      <calculatedColumnFormula>E2+F2+G2</calculatedColumnFormula>
    </tableColumn>
    <tableColumn id="8" xr3:uid="{55B1948D-5D2A-4428-9CAA-2258AA7BB255}" name="Percentage" dataDxfId="24">
      <calculatedColumnFormula>$I2/300*100</calculatedColumnFormula>
    </tableColumn>
    <tableColumn id="9" xr3:uid="{F6916B41-A617-4B4C-992F-A810A0809B6F}" name="Grade" dataDxfId="23">
      <calculatedColumnFormula>IF(J2&gt;85,"A", IF(J2&gt;65,"B",IF(J2&gt;35,"C","D")))</calculatedColumnFormula>
    </tableColumn>
    <tableColumn id="10" xr3:uid="{AE977CC9-1F34-44AB-B6E8-6D19256A3F81}" name="Score in Maths&amp;Sci" dataDxfId="22">
      <calculatedColumnFormula>IF(AND(E2&gt;80,F2&gt;80),"Greater 80","Less 80")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72B858-C5DE-4C44-8539-B91114E6E5A0}" name="Table2" displayName="Table2" ref="A1:I21" totalsRowShown="0" headerRowDxfId="1" dataDxfId="41" headerRowBorderDxfId="20" tableBorderDxfId="19" totalsRowBorderDxfId="40">
  <autoFilter ref="A1:I21" xr:uid="{CF72B858-C5DE-4C44-8539-B91114E6E5A0}"/>
  <tableColumns count="9">
    <tableColumn id="1" xr3:uid="{96496187-FE73-4D3C-8AC2-E33368A5306D}" name="Sales ID" dataDxfId="18"/>
    <tableColumn id="2" xr3:uid="{E3C05018-BB1F-42BE-8577-8B0B3A20E67A}" name="Product" dataDxfId="17"/>
    <tableColumn id="9" xr3:uid="{0AEC84D5-6924-4AC1-8F48-5EADE8362D93}" name="Product code" dataDxfId="16"/>
    <tableColumn id="3" xr3:uid="{E82C209F-569B-499B-8AFE-6382970DD127}" name="Region" dataDxfId="15"/>
    <tableColumn id="4" xr3:uid="{BDA1194C-E7BC-4309-A320-402DFD10E041}" name="Salesperson" dataDxfId="14"/>
    <tableColumn id="5" xr3:uid="{7880F946-A525-4712-BEDF-550F1C3BA790}" name="Amount" dataDxfId="13"/>
    <tableColumn id="6" xr3:uid="{1467992D-30E1-4539-8965-A44B36F7D094}" name="Date" dataDxfId="12"/>
    <tableColumn id="7" xr3:uid="{D994EF31-556D-4CDB-B95B-EAC45BC0695F}" name="Discount Rate" dataDxfId="11">
      <calculatedColumnFormula>IF(F2&gt;30000,5%,IF(F2&gt;20000,3%,1%))</calculatedColumnFormula>
    </tableColumn>
    <tableColumn id="8" xr3:uid="{A0C1B1E8-7589-43E2-8FD5-56A2F6DB9D15}" name="Discount type" dataDxfId="10">
      <calculatedColumnFormula>IF(OR(F2=0,F2&lt;7500),"Not Eligible","Eligible")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2FA57F-6320-49E2-BA35-6EC7E65D42DA}" name="Table3" displayName="Table3" ref="A1:F21" totalsRowShown="0" headerRowDxfId="38" dataDxfId="37" headerRowBorderDxfId="9" tableBorderDxfId="8" totalsRowBorderDxfId="36">
  <autoFilter ref="A1:F21" xr:uid="{3C2FA57F-6320-49E2-BA35-6EC7E65D42DA}"/>
  <tableColumns count="6">
    <tableColumn id="1" xr3:uid="{D0C38621-2956-42F5-8D0A-70239522AE6A}" name="Employee ID" dataDxfId="7"/>
    <tableColumn id="2" xr3:uid="{03FBA2E3-EE16-4B95-B498-E0E44C1D342C}" name="Name" dataDxfId="6"/>
    <tableColumn id="3" xr3:uid="{1CCACF47-64CA-4E91-80B9-86D01556A626}" name="Department" dataDxfId="5"/>
    <tableColumn id="4" xr3:uid="{431D4626-ABB4-4AFB-BA63-3F701D22279C}" name="Salary" dataDxfId="4"/>
    <tableColumn id="5" xr3:uid="{9ED457D7-96E2-4D7D-9009-CDAAA9DB1FF2}" name="Joining Date" dataDxfId="3"/>
    <tableColumn id="6" xr3:uid="{6FCC9901-A1F4-41C3-ABD5-F915CD26F736}" name="Working days" dataDxfId="2">
      <calculatedColumnFormula>DATEDIF(Table3[[#This Row],[Joining Date]],TODAY(),"d")</calculatedColumn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2085-FA8B-47FC-9288-54B82A9348B3}">
  <dimension ref="A1:L35"/>
  <sheetViews>
    <sheetView zoomScaleNormal="100" workbookViewId="0">
      <selection activeCell="I29" sqref="I29"/>
    </sheetView>
  </sheetViews>
  <sheetFormatPr defaultRowHeight="14.4"/>
  <cols>
    <col min="1" max="1" width="10.88671875" customWidth="1"/>
    <col min="2" max="2" width="13.6640625" customWidth="1"/>
    <col min="3" max="3" width="11.33203125" customWidth="1"/>
    <col min="4" max="4" width="9.21875" style="16" customWidth="1"/>
    <col min="6" max="6" width="8.77734375" customWidth="1"/>
    <col min="7" max="7" width="9" customWidth="1"/>
    <col min="8" max="8" width="16.44140625" customWidth="1"/>
    <col min="10" max="10" width="17.21875" customWidth="1"/>
    <col min="12" max="12" width="11.6640625" customWidth="1"/>
  </cols>
  <sheetData>
    <row r="1" spans="1:12" ht="25.8" customHeight="1" thickBot="1">
      <c r="A1" s="47" t="s">
        <v>0</v>
      </c>
      <c r="B1" s="48" t="s">
        <v>1</v>
      </c>
      <c r="C1" s="48" t="s">
        <v>132</v>
      </c>
      <c r="D1" s="49" t="s">
        <v>133</v>
      </c>
      <c r="E1" s="48" t="s">
        <v>2</v>
      </c>
      <c r="F1" s="48" t="s">
        <v>3</v>
      </c>
      <c r="G1" s="48" t="s">
        <v>4</v>
      </c>
      <c r="H1" s="48" t="s">
        <v>5</v>
      </c>
      <c r="I1" s="50" t="s">
        <v>89</v>
      </c>
      <c r="J1" s="48" t="s">
        <v>90</v>
      </c>
      <c r="K1" s="48" t="s">
        <v>91</v>
      </c>
      <c r="L1" s="51" t="s">
        <v>93</v>
      </c>
    </row>
    <row r="2" spans="1:12">
      <c r="A2" s="24">
        <v>1001</v>
      </c>
      <c r="B2" s="9" t="s">
        <v>6</v>
      </c>
      <c r="C2" s="25">
        <v>37268</v>
      </c>
      <c r="D2" s="26">
        <f ca="1">DATEDIF(C2,TODAY(),"Y")</f>
        <v>24</v>
      </c>
      <c r="E2" s="9">
        <v>61</v>
      </c>
      <c r="F2" s="9">
        <v>48</v>
      </c>
      <c r="G2" s="9">
        <v>76</v>
      </c>
      <c r="H2" s="27">
        <v>43101</v>
      </c>
      <c r="I2" s="9">
        <f t="shared" ref="I2:I21" si="0">E2+F2+G2</f>
        <v>185</v>
      </c>
      <c r="J2" s="9">
        <f t="shared" ref="J2:J21" si="1">$I2/300*100</f>
        <v>61.666666666666671</v>
      </c>
      <c r="K2" s="9" t="str">
        <f t="shared" ref="K2:K21" si="2">IF(J2&gt;85,"A", IF(J2&gt;65,"B",IF(J2&gt;35,"C","D")))</f>
        <v>C</v>
      </c>
      <c r="L2" s="28" t="str">
        <f t="shared" ref="L2:L21" si="3">IF(AND(E2&gt;80,F2&gt;80),"Greater 80","Less 80")</f>
        <v>Less 80</v>
      </c>
    </row>
    <row r="3" spans="1:12">
      <c r="A3" s="3">
        <v>1002</v>
      </c>
      <c r="B3" s="2" t="s">
        <v>7</v>
      </c>
      <c r="C3" s="20">
        <v>37677</v>
      </c>
      <c r="D3" s="21">
        <f t="shared" ref="D3:D21" ca="1" si="4">DATEDIF(C3,TODAY(),"Y")</f>
        <v>23</v>
      </c>
      <c r="E3" s="2">
        <v>78</v>
      </c>
      <c r="F3" s="2">
        <v>76</v>
      </c>
      <c r="G3" s="2">
        <v>70</v>
      </c>
      <c r="H3" s="1">
        <v>43281</v>
      </c>
      <c r="I3" s="2">
        <f t="shared" si="0"/>
        <v>224</v>
      </c>
      <c r="J3" s="2">
        <f t="shared" si="1"/>
        <v>74.666666666666671</v>
      </c>
      <c r="K3" s="2" t="str">
        <f t="shared" si="2"/>
        <v>B</v>
      </c>
      <c r="L3" s="4" t="str">
        <f t="shared" si="3"/>
        <v>Less 80</v>
      </c>
    </row>
    <row r="4" spans="1:12">
      <c r="A4" s="3">
        <v>1003</v>
      </c>
      <c r="B4" s="2" t="s">
        <v>8</v>
      </c>
      <c r="C4" s="20">
        <v>36953</v>
      </c>
      <c r="D4" s="21">
        <f t="shared" ca="1" si="4"/>
        <v>25</v>
      </c>
      <c r="E4" s="2">
        <v>97</v>
      </c>
      <c r="F4" s="2">
        <v>60</v>
      </c>
      <c r="G4" s="2">
        <v>51</v>
      </c>
      <c r="H4" s="1">
        <v>43461</v>
      </c>
      <c r="I4" s="2">
        <f t="shared" si="0"/>
        <v>208</v>
      </c>
      <c r="J4" s="2">
        <f t="shared" si="1"/>
        <v>69.333333333333343</v>
      </c>
      <c r="K4" s="2" t="str">
        <f t="shared" si="2"/>
        <v>B</v>
      </c>
      <c r="L4" s="4" t="str">
        <f t="shared" si="3"/>
        <v>Less 80</v>
      </c>
    </row>
    <row r="5" spans="1:12">
      <c r="A5" s="3">
        <v>1004</v>
      </c>
      <c r="B5" s="2" t="s">
        <v>9</v>
      </c>
      <c r="C5" s="20">
        <v>38095</v>
      </c>
      <c r="D5" s="21">
        <f t="shared" ca="1" si="4"/>
        <v>21</v>
      </c>
      <c r="E5" s="2">
        <v>74</v>
      </c>
      <c r="F5" s="2">
        <v>55</v>
      </c>
      <c r="G5" s="2">
        <v>46</v>
      </c>
      <c r="H5" s="1">
        <v>43641</v>
      </c>
      <c r="I5" s="2">
        <f t="shared" si="0"/>
        <v>175</v>
      </c>
      <c r="J5" s="2">
        <f t="shared" si="1"/>
        <v>58.333333333333336</v>
      </c>
      <c r="K5" s="2" t="str">
        <f t="shared" si="2"/>
        <v>C</v>
      </c>
      <c r="L5" s="4" t="str">
        <f t="shared" si="3"/>
        <v>Less 80</v>
      </c>
    </row>
    <row r="6" spans="1:12">
      <c r="A6" s="3">
        <v>1005</v>
      </c>
      <c r="B6" s="2" t="s">
        <v>10</v>
      </c>
      <c r="C6" s="20">
        <v>37383</v>
      </c>
      <c r="D6" s="21">
        <f t="shared" ca="1" si="4"/>
        <v>23</v>
      </c>
      <c r="E6" s="2">
        <v>68</v>
      </c>
      <c r="F6" s="2">
        <v>74</v>
      </c>
      <c r="G6" s="2">
        <v>84</v>
      </c>
      <c r="H6" s="1">
        <v>43821</v>
      </c>
      <c r="I6" s="2">
        <f t="shared" si="0"/>
        <v>226</v>
      </c>
      <c r="J6" s="2">
        <f t="shared" si="1"/>
        <v>75.333333333333329</v>
      </c>
      <c r="K6" s="2" t="str">
        <f t="shared" si="2"/>
        <v>B</v>
      </c>
      <c r="L6" s="4" t="str">
        <f t="shared" si="3"/>
        <v>Less 80</v>
      </c>
    </row>
    <row r="7" spans="1:12">
      <c r="A7" s="3">
        <v>1006</v>
      </c>
      <c r="B7" s="2" t="s">
        <v>11</v>
      </c>
      <c r="C7" s="20">
        <v>38532</v>
      </c>
      <c r="D7" s="21">
        <f t="shared" ca="1" si="4"/>
        <v>20</v>
      </c>
      <c r="E7" s="2">
        <v>80</v>
      </c>
      <c r="F7" s="2">
        <v>70</v>
      </c>
      <c r="G7" s="2">
        <v>65</v>
      </c>
      <c r="H7" s="1">
        <v>44001</v>
      </c>
      <c r="I7" s="2">
        <f t="shared" si="0"/>
        <v>215</v>
      </c>
      <c r="J7" s="2">
        <f t="shared" si="1"/>
        <v>71.666666666666671</v>
      </c>
      <c r="K7" s="2" t="str">
        <f t="shared" si="2"/>
        <v>B</v>
      </c>
      <c r="L7" s="4" t="str">
        <f t="shared" si="3"/>
        <v>Less 80</v>
      </c>
    </row>
    <row r="8" spans="1:12">
      <c r="A8" s="3">
        <v>1007</v>
      </c>
      <c r="B8" s="2" t="s">
        <v>12</v>
      </c>
      <c r="C8" s="20">
        <v>37086</v>
      </c>
      <c r="D8" s="21">
        <f t="shared" ca="1" si="4"/>
        <v>24</v>
      </c>
      <c r="E8" s="2">
        <v>75</v>
      </c>
      <c r="F8" s="2">
        <v>47</v>
      </c>
      <c r="G8" s="2">
        <v>78</v>
      </c>
      <c r="H8" s="1">
        <v>44181</v>
      </c>
      <c r="I8" s="2">
        <f t="shared" si="0"/>
        <v>200</v>
      </c>
      <c r="J8" s="2">
        <f t="shared" si="1"/>
        <v>66.666666666666657</v>
      </c>
      <c r="K8" s="2" t="str">
        <f t="shared" si="2"/>
        <v>B</v>
      </c>
      <c r="L8" s="4" t="str">
        <f t="shared" si="3"/>
        <v>Less 80</v>
      </c>
    </row>
    <row r="9" spans="1:12">
      <c r="A9" s="3">
        <v>1008</v>
      </c>
      <c r="B9" s="2" t="s">
        <v>13</v>
      </c>
      <c r="C9" s="20">
        <v>37855</v>
      </c>
      <c r="D9" s="21">
        <f t="shared" ca="1" si="4"/>
        <v>22</v>
      </c>
      <c r="E9" s="2">
        <v>94</v>
      </c>
      <c r="F9" s="2">
        <v>67</v>
      </c>
      <c r="G9" s="2">
        <v>64</v>
      </c>
      <c r="H9" s="1">
        <v>44361</v>
      </c>
      <c r="I9" s="2">
        <f t="shared" si="0"/>
        <v>225</v>
      </c>
      <c r="J9" s="2">
        <f t="shared" si="1"/>
        <v>75</v>
      </c>
      <c r="K9" s="2" t="str">
        <f t="shared" si="2"/>
        <v>B</v>
      </c>
      <c r="L9" s="4" t="str">
        <f t="shared" si="3"/>
        <v>Less 80</v>
      </c>
    </row>
    <row r="10" spans="1:12">
      <c r="A10" s="3">
        <v>1009</v>
      </c>
      <c r="B10" s="2" t="s">
        <v>14</v>
      </c>
      <c r="C10" s="20">
        <v>37508</v>
      </c>
      <c r="D10" s="21">
        <f t="shared" ca="1" si="4"/>
        <v>23</v>
      </c>
      <c r="E10" s="2">
        <v>41</v>
      </c>
      <c r="F10" s="2">
        <v>75</v>
      </c>
      <c r="G10" s="2">
        <v>56</v>
      </c>
      <c r="H10" s="1">
        <v>44541</v>
      </c>
      <c r="I10" s="2">
        <f t="shared" si="0"/>
        <v>172</v>
      </c>
      <c r="J10" s="2">
        <f t="shared" si="1"/>
        <v>57.333333333333336</v>
      </c>
      <c r="K10" s="2" t="str">
        <f t="shared" si="2"/>
        <v>C</v>
      </c>
      <c r="L10" s="4" t="str">
        <f t="shared" si="3"/>
        <v>Less 80</v>
      </c>
    </row>
    <row r="11" spans="1:12" ht="15.6" customHeight="1">
      <c r="A11" s="3">
        <v>1010</v>
      </c>
      <c r="B11" s="2" t="s">
        <v>15</v>
      </c>
      <c r="C11" s="20">
        <v>38290</v>
      </c>
      <c r="D11" s="21">
        <f t="shared" ca="1" si="4"/>
        <v>21</v>
      </c>
      <c r="E11" s="2">
        <v>98</v>
      </c>
      <c r="F11" s="2">
        <v>54</v>
      </c>
      <c r="G11" s="2">
        <v>58</v>
      </c>
      <c r="H11" s="1">
        <v>44721</v>
      </c>
      <c r="I11" s="2">
        <f t="shared" si="0"/>
        <v>210</v>
      </c>
      <c r="J11" s="2">
        <f t="shared" si="1"/>
        <v>70</v>
      </c>
      <c r="K11" s="2" t="str">
        <f t="shared" si="2"/>
        <v>B</v>
      </c>
      <c r="L11" s="4" t="str">
        <f t="shared" si="3"/>
        <v>Less 80</v>
      </c>
    </row>
    <row r="12" spans="1:12" ht="15.6" customHeight="1">
      <c r="A12" s="3">
        <v>1011</v>
      </c>
      <c r="B12" s="2" t="s">
        <v>16</v>
      </c>
      <c r="C12" s="20">
        <v>37206</v>
      </c>
      <c r="D12" s="21">
        <f t="shared" ca="1" si="4"/>
        <v>24</v>
      </c>
      <c r="E12" s="2">
        <v>73</v>
      </c>
      <c r="F12" s="2">
        <v>79</v>
      </c>
      <c r="G12" s="2">
        <v>53</v>
      </c>
      <c r="H12" s="1">
        <v>44901</v>
      </c>
      <c r="I12" s="2">
        <f t="shared" si="0"/>
        <v>205</v>
      </c>
      <c r="J12" s="2">
        <f t="shared" si="1"/>
        <v>68.333333333333329</v>
      </c>
      <c r="K12" s="2" t="str">
        <f t="shared" si="2"/>
        <v>B</v>
      </c>
      <c r="L12" s="4" t="str">
        <f t="shared" si="3"/>
        <v>Less 80</v>
      </c>
    </row>
    <row r="13" spans="1:12" ht="15.6" customHeight="1">
      <c r="A13" s="3">
        <v>1012</v>
      </c>
      <c r="B13" s="2" t="s">
        <v>17</v>
      </c>
      <c r="C13" s="20">
        <v>37982</v>
      </c>
      <c r="D13" s="21">
        <f t="shared" ca="1" si="4"/>
        <v>22</v>
      </c>
      <c r="E13" s="2">
        <v>85</v>
      </c>
      <c r="F13" s="2">
        <v>89</v>
      </c>
      <c r="G13" s="2">
        <v>79</v>
      </c>
      <c r="H13" s="1">
        <v>45081</v>
      </c>
      <c r="I13" s="2">
        <f t="shared" si="0"/>
        <v>253</v>
      </c>
      <c r="J13" s="2">
        <f t="shared" si="1"/>
        <v>84.333333333333343</v>
      </c>
      <c r="K13" s="2" t="str">
        <f t="shared" si="2"/>
        <v>B</v>
      </c>
      <c r="L13" s="4" t="str">
        <f t="shared" si="3"/>
        <v>Greater 80</v>
      </c>
    </row>
    <row r="14" spans="1:12" ht="15.6" customHeight="1">
      <c r="A14" s="3">
        <v>1013</v>
      </c>
      <c r="B14" s="2" t="s">
        <v>18</v>
      </c>
      <c r="C14" s="20">
        <v>38357</v>
      </c>
      <c r="D14" s="21">
        <f t="shared" ca="1" si="4"/>
        <v>21</v>
      </c>
      <c r="E14" s="2">
        <v>98</v>
      </c>
      <c r="F14" s="2">
        <v>90</v>
      </c>
      <c r="G14" s="2">
        <v>97</v>
      </c>
      <c r="H14" s="1">
        <v>45261</v>
      </c>
      <c r="I14" s="2">
        <f t="shared" si="0"/>
        <v>285</v>
      </c>
      <c r="J14" s="2">
        <f t="shared" si="1"/>
        <v>95</v>
      </c>
      <c r="K14" s="2" t="str">
        <f t="shared" si="2"/>
        <v>A</v>
      </c>
      <c r="L14" s="4" t="str">
        <f t="shared" si="3"/>
        <v>Greater 80</v>
      </c>
    </row>
    <row r="15" spans="1:12" ht="15.6" customHeight="1">
      <c r="A15" s="3">
        <v>1014</v>
      </c>
      <c r="B15" s="2" t="s">
        <v>19</v>
      </c>
      <c r="C15" s="20">
        <v>37303</v>
      </c>
      <c r="D15" s="21">
        <f t="shared" ca="1" si="4"/>
        <v>24</v>
      </c>
      <c r="E15" s="2">
        <v>93</v>
      </c>
      <c r="F15" s="2">
        <v>40</v>
      </c>
      <c r="G15" s="2">
        <v>44</v>
      </c>
      <c r="H15" s="1">
        <v>45441</v>
      </c>
      <c r="I15" s="2">
        <f t="shared" si="0"/>
        <v>177</v>
      </c>
      <c r="J15" s="2">
        <f t="shared" si="1"/>
        <v>59</v>
      </c>
      <c r="K15" s="2" t="str">
        <f t="shared" si="2"/>
        <v>C</v>
      </c>
      <c r="L15" s="4" t="str">
        <f t="shared" si="3"/>
        <v>Less 80</v>
      </c>
    </row>
    <row r="16" spans="1:12" ht="15.6" customHeight="1">
      <c r="A16" s="3">
        <v>1015</v>
      </c>
      <c r="B16" s="2" t="s">
        <v>20</v>
      </c>
      <c r="C16" s="20">
        <v>38067</v>
      </c>
      <c r="D16" s="21">
        <f t="shared" ca="1" si="4"/>
        <v>21</v>
      </c>
      <c r="E16" s="2">
        <v>70</v>
      </c>
      <c r="F16" s="2">
        <v>51</v>
      </c>
      <c r="G16" s="2">
        <v>75</v>
      </c>
      <c r="H16" s="1">
        <v>45621</v>
      </c>
      <c r="I16" s="2">
        <f t="shared" si="0"/>
        <v>196</v>
      </c>
      <c r="J16" s="2">
        <f t="shared" si="1"/>
        <v>65.333333333333329</v>
      </c>
      <c r="K16" s="2" t="str">
        <f t="shared" si="2"/>
        <v>B</v>
      </c>
      <c r="L16" s="4" t="str">
        <f t="shared" si="3"/>
        <v>Less 80</v>
      </c>
    </row>
    <row r="17" spans="1:12" ht="15.6" customHeight="1">
      <c r="A17" s="3">
        <v>1016</v>
      </c>
      <c r="B17" s="2" t="s">
        <v>21</v>
      </c>
      <c r="C17" s="20">
        <v>36989</v>
      </c>
      <c r="D17" s="21">
        <f t="shared" ca="1" si="4"/>
        <v>24</v>
      </c>
      <c r="E17" s="2">
        <v>98</v>
      </c>
      <c r="F17" s="2">
        <v>77</v>
      </c>
      <c r="G17" s="2">
        <v>60</v>
      </c>
      <c r="H17" s="1">
        <v>45801</v>
      </c>
      <c r="I17" s="2">
        <f t="shared" si="0"/>
        <v>235</v>
      </c>
      <c r="J17" s="2">
        <f t="shared" si="1"/>
        <v>78.333333333333329</v>
      </c>
      <c r="K17" s="2" t="str">
        <f t="shared" si="2"/>
        <v>B</v>
      </c>
      <c r="L17" s="4" t="str">
        <f t="shared" si="3"/>
        <v>Less 80</v>
      </c>
    </row>
    <row r="18" spans="1:12" ht="15.6" customHeight="1">
      <c r="A18" s="3">
        <v>1017</v>
      </c>
      <c r="B18" s="2" t="s">
        <v>22</v>
      </c>
      <c r="C18" s="20">
        <v>37760</v>
      </c>
      <c r="D18" s="21">
        <f t="shared" ca="1" si="4"/>
        <v>22</v>
      </c>
      <c r="E18" s="2">
        <v>66</v>
      </c>
      <c r="F18" s="2">
        <v>59</v>
      </c>
      <c r="G18" s="2">
        <v>40</v>
      </c>
      <c r="H18" s="1">
        <v>45981</v>
      </c>
      <c r="I18" s="2">
        <f t="shared" si="0"/>
        <v>165</v>
      </c>
      <c r="J18" s="2">
        <f t="shared" si="1"/>
        <v>55.000000000000007</v>
      </c>
      <c r="K18" s="2" t="str">
        <f t="shared" si="2"/>
        <v>C</v>
      </c>
      <c r="L18" s="4" t="str">
        <f t="shared" si="3"/>
        <v>Less 80</v>
      </c>
    </row>
    <row r="19" spans="1:12" ht="15.6" customHeight="1">
      <c r="A19" s="3">
        <v>1018</v>
      </c>
      <c r="B19" s="2" t="s">
        <v>23</v>
      </c>
      <c r="C19" s="20">
        <v>37431</v>
      </c>
      <c r="D19" s="21">
        <f t="shared" ca="1" si="4"/>
        <v>23</v>
      </c>
      <c r="E19" s="2">
        <v>82</v>
      </c>
      <c r="F19" s="2">
        <v>48</v>
      </c>
      <c r="G19" s="2">
        <v>79</v>
      </c>
      <c r="H19" s="1">
        <v>46161</v>
      </c>
      <c r="I19" s="2">
        <f t="shared" si="0"/>
        <v>209</v>
      </c>
      <c r="J19" s="2">
        <f t="shared" si="1"/>
        <v>69.666666666666671</v>
      </c>
      <c r="K19" s="2" t="str">
        <f t="shared" si="2"/>
        <v>B</v>
      </c>
      <c r="L19" s="4" t="str">
        <f t="shared" si="3"/>
        <v>Less 80</v>
      </c>
    </row>
    <row r="20" spans="1:12" ht="15.6" customHeight="1">
      <c r="A20" s="3">
        <v>1019</v>
      </c>
      <c r="B20" s="2" t="s">
        <v>24</v>
      </c>
      <c r="C20" s="20">
        <v>38535</v>
      </c>
      <c r="D20" s="21">
        <f t="shared" ca="1" si="4"/>
        <v>20</v>
      </c>
      <c r="E20" s="2">
        <v>90</v>
      </c>
      <c r="F20" s="2">
        <v>78</v>
      </c>
      <c r="G20" s="2">
        <v>60</v>
      </c>
      <c r="H20" s="1">
        <v>46341</v>
      </c>
      <c r="I20" s="2">
        <f t="shared" si="0"/>
        <v>228</v>
      </c>
      <c r="J20" s="2">
        <f t="shared" si="1"/>
        <v>76</v>
      </c>
      <c r="K20" s="2" t="str">
        <f t="shared" si="2"/>
        <v>B</v>
      </c>
      <c r="L20" s="4" t="str">
        <f t="shared" si="3"/>
        <v>Less 80</v>
      </c>
    </row>
    <row r="21" spans="1:12" ht="15.6" customHeight="1">
      <c r="A21" s="5">
        <v>1020</v>
      </c>
      <c r="B21" s="6" t="s">
        <v>25</v>
      </c>
      <c r="C21" s="22">
        <v>37116</v>
      </c>
      <c r="D21" s="23">
        <f t="shared" ca="1" si="4"/>
        <v>24</v>
      </c>
      <c r="E21" s="6">
        <v>83</v>
      </c>
      <c r="F21" s="6">
        <v>92</v>
      </c>
      <c r="G21" s="6">
        <v>55</v>
      </c>
      <c r="H21" s="7">
        <v>46521</v>
      </c>
      <c r="I21" s="6">
        <f t="shared" si="0"/>
        <v>230</v>
      </c>
      <c r="J21" s="6">
        <f t="shared" si="1"/>
        <v>76.666666666666671</v>
      </c>
      <c r="K21" s="6" t="str">
        <f t="shared" si="2"/>
        <v>B</v>
      </c>
      <c r="L21" s="8" t="str">
        <f t="shared" si="3"/>
        <v>Greater 80</v>
      </c>
    </row>
    <row r="22" spans="1:12" ht="15" thickBot="1"/>
    <row r="23" spans="1:12" ht="46.8" customHeight="1" thickBot="1">
      <c r="B23" s="38" t="s">
        <v>95</v>
      </c>
      <c r="C23" s="40">
        <f>COUNTIF(E2:E21,"&gt;50")</f>
        <v>19</v>
      </c>
      <c r="F23" s="38" t="s">
        <v>97</v>
      </c>
      <c r="G23" s="40">
        <f>AVERAGEIFS(I2:I21, E2:E21, "&gt;60", F2:F21, "&gt;60", G2:G21, "&gt;60")</f>
        <v>238</v>
      </c>
    </row>
    <row r="24" spans="1:12" ht="15" thickBot="1"/>
    <row r="25" spans="1:12" ht="43.8" thickBot="1">
      <c r="B25" s="38" t="s">
        <v>98</v>
      </c>
      <c r="C25" s="40" t="str">
        <f>VLOOKUP(1010,A2:L21,2,FALSE)</f>
        <v>Student 10</v>
      </c>
      <c r="F25" s="38" t="s">
        <v>122</v>
      </c>
      <c r="G25" s="40" t="str">
        <f>LEFT(B14,7)</f>
        <v>Student</v>
      </c>
    </row>
    <row r="26" spans="1:12" ht="15" thickBot="1"/>
    <row r="27" spans="1:12" ht="22.2" thickBot="1">
      <c r="B27" s="38" t="s">
        <v>123</v>
      </c>
      <c r="C27" s="41" t="str">
        <f>UPPER(B19)</f>
        <v>STUDENT 18</v>
      </c>
      <c r="F27" s="38" t="s">
        <v>124</v>
      </c>
      <c r="G27" s="40" t="str">
        <f>LOWER(B17)</f>
        <v>student 16</v>
      </c>
    </row>
    <row r="28" spans="1:12" ht="15" thickBot="1"/>
    <row r="29" spans="1:12" ht="24.6" thickBot="1">
      <c r="B29" s="38" t="s">
        <v>125</v>
      </c>
      <c r="C29" s="40">
        <f>FIND("e",B21)</f>
        <v>5</v>
      </c>
      <c r="G29" s="52" t="s">
        <v>138</v>
      </c>
    </row>
    <row r="30" spans="1:12">
      <c r="G30" s="19" t="str" cm="1">
        <f t="array" ref="G30:G35" xml:space="preserve"> _xlfn._xlws.FILTER(B2:B21,I2:I21&gt;225,"not found"  )</f>
        <v>Student 5</v>
      </c>
    </row>
    <row r="31" spans="1:12">
      <c r="G31" s="17" t="str">
        <v>Student 12</v>
      </c>
    </row>
    <row r="32" spans="1:12">
      <c r="G32" s="17" t="str">
        <v>Student 13</v>
      </c>
    </row>
    <row r="33" spans="7:7">
      <c r="G33" s="17" t="str">
        <v>Student 16</v>
      </c>
    </row>
    <row r="34" spans="7:7">
      <c r="G34" s="17" t="str">
        <v>Student 19</v>
      </c>
    </row>
    <row r="35" spans="7:7" ht="15" thickBot="1">
      <c r="G35" s="18" t="str">
        <v>Student 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819E-8FA8-4B61-BCDC-3FD1D65C0832}">
  <dimension ref="A1:I27"/>
  <sheetViews>
    <sheetView tabSelected="1" zoomScale="113" zoomScaleNormal="100" workbookViewId="0">
      <selection activeCell="N8" sqref="N8"/>
    </sheetView>
  </sheetViews>
  <sheetFormatPr defaultRowHeight="14.4"/>
  <cols>
    <col min="1" max="1" width="9.33203125" customWidth="1"/>
    <col min="2" max="2" width="9.5546875" customWidth="1"/>
    <col min="3" max="3" width="13.6640625" customWidth="1"/>
    <col min="4" max="4" width="12.88671875" customWidth="1"/>
    <col min="5" max="5" width="11.88671875" customWidth="1"/>
    <col min="6" max="6" width="18" customWidth="1"/>
    <col min="7" max="7" width="16.5546875" customWidth="1"/>
    <col min="8" max="8" width="14.21875" customWidth="1"/>
    <col min="9" max="9" width="13.33203125" customWidth="1"/>
  </cols>
  <sheetData>
    <row r="1" spans="1:9" ht="21.6" customHeight="1" thickBot="1">
      <c r="A1" s="44" t="s">
        <v>26</v>
      </c>
      <c r="B1" s="45" t="s">
        <v>27</v>
      </c>
      <c r="C1" s="45" t="s">
        <v>99</v>
      </c>
      <c r="D1" s="45" t="s">
        <v>28</v>
      </c>
      <c r="E1" s="45" t="s">
        <v>29</v>
      </c>
      <c r="F1" s="45" t="s">
        <v>30</v>
      </c>
      <c r="G1" s="45" t="s">
        <v>31</v>
      </c>
      <c r="H1" s="46" t="s">
        <v>92</v>
      </c>
      <c r="I1" s="46" t="s">
        <v>94</v>
      </c>
    </row>
    <row r="2" spans="1:9" ht="18" customHeight="1">
      <c r="A2" s="24">
        <v>2001</v>
      </c>
      <c r="B2" s="9" t="s">
        <v>32</v>
      </c>
      <c r="C2" s="9" t="s">
        <v>100</v>
      </c>
      <c r="D2" s="9" t="s">
        <v>33</v>
      </c>
      <c r="E2" s="9" t="s">
        <v>34</v>
      </c>
      <c r="F2" s="29">
        <v>7048</v>
      </c>
      <c r="G2" s="27">
        <v>44927</v>
      </c>
      <c r="H2" s="14">
        <f t="shared" ref="H2:H21" si="0">IF(F2&gt;30000,5%,IF(F2&gt;20000,3%,1%))</f>
        <v>0.01</v>
      </c>
      <c r="I2" s="14" t="str">
        <f t="shared" ref="I2:I21" si="1">IF(OR(F2=0,F2&lt;7500),"Not Eligible","Eligible")</f>
        <v>Not Eligible</v>
      </c>
    </row>
    <row r="3" spans="1:9">
      <c r="A3" s="3">
        <v>2002</v>
      </c>
      <c r="B3" s="2" t="s">
        <v>35</v>
      </c>
      <c r="C3" s="2" t="s">
        <v>101</v>
      </c>
      <c r="D3" s="2" t="s">
        <v>36</v>
      </c>
      <c r="E3" s="2" t="s">
        <v>37</v>
      </c>
      <c r="F3" s="10">
        <v>17428</v>
      </c>
      <c r="G3" s="1">
        <v>44942</v>
      </c>
      <c r="H3" s="12">
        <f t="shared" si="0"/>
        <v>0.01</v>
      </c>
      <c r="I3" s="12" t="str">
        <f t="shared" si="1"/>
        <v>Eligible</v>
      </c>
    </row>
    <row r="4" spans="1:9">
      <c r="A4" s="3">
        <v>2003</v>
      </c>
      <c r="B4" s="2" t="s">
        <v>38</v>
      </c>
      <c r="C4" s="2" t="s">
        <v>102</v>
      </c>
      <c r="D4" s="2" t="s">
        <v>33</v>
      </c>
      <c r="E4" s="2" t="s">
        <v>39</v>
      </c>
      <c r="F4" s="10">
        <v>23672</v>
      </c>
      <c r="G4" s="1">
        <v>44957</v>
      </c>
      <c r="H4" s="12">
        <f t="shared" si="0"/>
        <v>0.03</v>
      </c>
      <c r="I4" s="12" t="str">
        <f t="shared" si="1"/>
        <v>Eligible</v>
      </c>
    </row>
    <row r="5" spans="1:9" ht="16.8" customHeight="1">
      <c r="A5" s="3">
        <v>2004</v>
      </c>
      <c r="B5" s="2" t="s">
        <v>35</v>
      </c>
      <c r="C5" s="2" t="s">
        <v>103</v>
      </c>
      <c r="D5" s="2" t="s">
        <v>40</v>
      </c>
      <c r="E5" s="2" t="s">
        <v>41</v>
      </c>
      <c r="F5" s="10">
        <v>5264</v>
      </c>
      <c r="G5" s="1">
        <v>44972</v>
      </c>
      <c r="H5" s="12">
        <f t="shared" si="0"/>
        <v>0.01</v>
      </c>
      <c r="I5" s="15" t="str">
        <f t="shared" si="1"/>
        <v>Not Eligible</v>
      </c>
    </row>
    <row r="6" spans="1:9">
      <c r="A6" s="3">
        <v>2005</v>
      </c>
      <c r="B6" s="2" t="s">
        <v>32</v>
      </c>
      <c r="C6" s="2" t="s">
        <v>104</v>
      </c>
      <c r="D6" s="2" t="s">
        <v>42</v>
      </c>
      <c r="E6" s="2" t="s">
        <v>43</v>
      </c>
      <c r="F6" s="10">
        <v>43388</v>
      </c>
      <c r="G6" s="1">
        <v>44987</v>
      </c>
      <c r="H6" s="12">
        <f t="shared" si="0"/>
        <v>0.05</v>
      </c>
      <c r="I6" s="12" t="str">
        <f t="shared" si="1"/>
        <v>Eligible</v>
      </c>
    </row>
    <row r="7" spans="1:9">
      <c r="A7" s="3">
        <v>2006</v>
      </c>
      <c r="B7" s="2" t="s">
        <v>38</v>
      </c>
      <c r="C7" s="2" t="s">
        <v>105</v>
      </c>
      <c r="D7" s="2" t="s">
        <v>42</v>
      </c>
      <c r="E7" s="2" t="s">
        <v>44</v>
      </c>
      <c r="F7" s="10">
        <v>19757</v>
      </c>
      <c r="G7" s="1">
        <v>45002</v>
      </c>
      <c r="H7" s="12">
        <f t="shared" si="0"/>
        <v>0.01</v>
      </c>
      <c r="I7" s="12" t="str">
        <f t="shared" si="1"/>
        <v>Eligible</v>
      </c>
    </row>
    <row r="8" spans="1:9">
      <c r="A8" s="3">
        <v>2007</v>
      </c>
      <c r="B8" s="2" t="s">
        <v>38</v>
      </c>
      <c r="C8" s="2" t="s">
        <v>106</v>
      </c>
      <c r="D8" s="2" t="s">
        <v>40</v>
      </c>
      <c r="E8" s="2" t="s">
        <v>45</v>
      </c>
      <c r="F8" s="10">
        <v>32058</v>
      </c>
      <c r="G8" s="1">
        <v>45017</v>
      </c>
      <c r="H8" s="12">
        <f t="shared" si="0"/>
        <v>0.05</v>
      </c>
      <c r="I8" s="12" t="str">
        <f t="shared" si="1"/>
        <v>Eligible</v>
      </c>
    </row>
    <row r="9" spans="1:9">
      <c r="A9" s="3">
        <v>2008</v>
      </c>
      <c r="B9" s="2" t="s">
        <v>32</v>
      </c>
      <c r="C9" s="2" t="s">
        <v>107</v>
      </c>
      <c r="D9" s="2" t="s">
        <v>40</v>
      </c>
      <c r="E9" s="2" t="s">
        <v>46</v>
      </c>
      <c r="F9" s="10">
        <v>46429</v>
      </c>
      <c r="G9" s="1">
        <v>45032</v>
      </c>
      <c r="H9" s="12">
        <f t="shared" si="0"/>
        <v>0.05</v>
      </c>
      <c r="I9" s="12" t="str">
        <f t="shared" si="1"/>
        <v>Eligible</v>
      </c>
    </row>
    <row r="10" spans="1:9">
      <c r="A10" s="3">
        <v>2009</v>
      </c>
      <c r="B10" s="2" t="s">
        <v>35</v>
      </c>
      <c r="C10" s="2" t="s">
        <v>108</v>
      </c>
      <c r="D10" s="2" t="s">
        <v>40</v>
      </c>
      <c r="E10" s="2" t="s">
        <v>47</v>
      </c>
      <c r="F10" s="10">
        <v>19746</v>
      </c>
      <c r="G10" s="1">
        <v>45047</v>
      </c>
      <c r="H10" s="12">
        <f t="shared" si="0"/>
        <v>0.01</v>
      </c>
      <c r="I10" s="12" t="str">
        <f t="shared" si="1"/>
        <v>Eligible</v>
      </c>
    </row>
    <row r="11" spans="1:9" ht="16.8" customHeight="1">
      <c r="A11" s="3">
        <v>2010</v>
      </c>
      <c r="B11" s="2" t="s">
        <v>32</v>
      </c>
      <c r="C11" s="2" t="s">
        <v>109</v>
      </c>
      <c r="D11" s="2" t="s">
        <v>33</v>
      </c>
      <c r="E11" s="2" t="s">
        <v>48</v>
      </c>
      <c r="F11" s="10">
        <v>35185</v>
      </c>
      <c r="G11" s="1">
        <v>45062</v>
      </c>
      <c r="H11" s="12">
        <f t="shared" si="0"/>
        <v>0.05</v>
      </c>
      <c r="I11" s="12" t="str">
        <f t="shared" si="1"/>
        <v>Eligible</v>
      </c>
    </row>
    <row r="12" spans="1:9" ht="16.8" customHeight="1">
      <c r="A12" s="3">
        <v>2011</v>
      </c>
      <c r="B12" s="2" t="s">
        <v>32</v>
      </c>
      <c r="C12" s="2" t="s">
        <v>110</v>
      </c>
      <c r="D12" s="2" t="s">
        <v>40</v>
      </c>
      <c r="E12" s="2" t="s">
        <v>49</v>
      </c>
      <c r="F12" s="10">
        <v>33920</v>
      </c>
      <c r="G12" s="1">
        <v>45077</v>
      </c>
      <c r="H12" s="12">
        <f t="shared" si="0"/>
        <v>0.05</v>
      </c>
      <c r="I12" s="12" t="str">
        <f t="shared" si="1"/>
        <v>Eligible</v>
      </c>
    </row>
    <row r="13" spans="1:9" ht="16.8" customHeight="1">
      <c r="A13" s="3">
        <v>2012</v>
      </c>
      <c r="B13" s="2" t="s">
        <v>50</v>
      </c>
      <c r="C13" s="2" t="s">
        <v>111</v>
      </c>
      <c r="D13" s="2" t="s">
        <v>42</v>
      </c>
      <c r="E13" s="2" t="s">
        <v>51</v>
      </c>
      <c r="F13" s="10">
        <v>35611</v>
      </c>
      <c r="G13" s="1">
        <v>45092</v>
      </c>
      <c r="H13" s="12">
        <f t="shared" si="0"/>
        <v>0.05</v>
      </c>
      <c r="I13" s="12" t="str">
        <f t="shared" si="1"/>
        <v>Eligible</v>
      </c>
    </row>
    <row r="14" spans="1:9" ht="16.8" customHeight="1">
      <c r="A14" s="3">
        <v>2013</v>
      </c>
      <c r="B14" s="2" t="s">
        <v>52</v>
      </c>
      <c r="C14" s="2" t="s">
        <v>112</v>
      </c>
      <c r="D14" s="2" t="s">
        <v>40</v>
      </c>
      <c r="E14" s="2" t="s">
        <v>53</v>
      </c>
      <c r="F14" s="10">
        <v>15560</v>
      </c>
      <c r="G14" s="1">
        <v>45107</v>
      </c>
      <c r="H14" s="12">
        <f t="shared" si="0"/>
        <v>0.01</v>
      </c>
      <c r="I14" s="12" t="str">
        <f t="shared" si="1"/>
        <v>Eligible</v>
      </c>
    </row>
    <row r="15" spans="1:9" ht="16.8" customHeight="1">
      <c r="A15" s="3">
        <v>2014</v>
      </c>
      <c r="B15" s="2" t="s">
        <v>52</v>
      </c>
      <c r="C15" s="2" t="s">
        <v>113</v>
      </c>
      <c r="D15" s="2" t="s">
        <v>33</v>
      </c>
      <c r="E15" s="2" t="s">
        <v>54</v>
      </c>
      <c r="F15" s="10">
        <v>7283</v>
      </c>
      <c r="G15" s="1">
        <v>45122</v>
      </c>
      <c r="H15" s="12">
        <f t="shared" si="0"/>
        <v>0.01</v>
      </c>
      <c r="I15" s="12" t="str">
        <f t="shared" si="1"/>
        <v>Not Eligible</v>
      </c>
    </row>
    <row r="16" spans="1:9" ht="16.8" customHeight="1">
      <c r="A16" s="3">
        <v>2015</v>
      </c>
      <c r="B16" s="2" t="s">
        <v>52</v>
      </c>
      <c r="C16" s="2" t="s">
        <v>114</v>
      </c>
      <c r="D16" s="2" t="s">
        <v>40</v>
      </c>
      <c r="E16" s="2" t="s">
        <v>55</v>
      </c>
      <c r="F16" s="10">
        <v>15678</v>
      </c>
      <c r="G16" s="1">
        <v>45137</v>
      </c>
      <c r="H16" s="12">
        <f t="shared" si="0"/>
        <v>0.01</v>
      </c>
      <c r="I16" s="12" t="str">
        <f t="shared" si="1"/>
        <v>Eligible</v>
      </c>
    </row>
    <row r="17" spans="1:9" ht="16.8" customHeight="1">
      <c r="A17" s="3">
        <v>2016</v>
      </c>
      <c r="B17" s="2" t="s">
        <v>38</v>
      </c>
      <c r="C17" s="2" t="s">
        <v>115</v>
      </c>
      <c r="D17" s="2" t="s">
        <v>40</v>
      </c>
      <c r="E17" s="2" t="s">
        <v>56</v>
      </c>
      <c r="F17" s="10">
        <v>5277</v>
      </c>
      <c r="G17" s="1">
        <v>45152</v>
      </c>
      <c r="H17" s="12">
        <f t="shared" si="0"/>
        <v>0.01</v>
      </c>
      <c r="I17" s="12" t="str">
        <f t="shared" si="1"/>
        <v>Not Eligible</v>
      </c>
    </row>
    <row r="18" spans="1:9" ht="16.8" customHeight="1">
      <c r="A18" s="3">
        <v>2017</v>
      </c>
      <c r="B18" s="2" t="s">
        <v>50</v>
      </c>
      <c r="C18" s="2" t="s">
        <v>116</v>
      </c>
      <c r="D18" s="2" t="s">
        <v>42</v>
      </c>
      <c r="E18" s="2" t="s">
        <v>57</v>
      </c>
      <c r="F18" s="10">
        <v>41871</v>
      </c>
      <c r="G18" s="1">
        <v>45167</v>
      </c>
      <c r="H18" s="12">
        <f t="shared" si="0"/>
        <v>0.05</v>
      </c>
      <c r="I18" s="12" t="str">
        <f t="shared" si="1"/>
        <v>Eligible</v>
      </c>
    </row>
    <row r="19" spans="1:9" ht="16.8" customHeight="1">
      <c r="A19" s="3">
        <v>2018</v>
      </c>
      <c r="B19" s="2" t="s">
        <v>50</v>
      </c>
      <c r="C19" s="2" t="s">
        <v>117</v>
      </c>
      <c r="D19" s="2" t="s">
        <v>36</v>
      </c>
      <c r="E19" s="2" t="s">
        <v>58</v>
      </c>
      <c r="F19" s="10">
        <v>38161</v>
      </c>
      <c r="G19" s="1">
        <v>45182</v>
      </c>
      <c r="H19" s="12">
        <f t="shared" si="0"/>
        <v>0.05</v>
      </c>
      <c r="I19" s="12" t="str">
        <f t="shared" si="1"/>
        <v>Eligible</v>
      </c>
    </row>
    <row r="20" spans="1:9" ht="16.8" customHeight="1">
      <c r="A20" s="3">
        <v>2019</v>
      </c>
      <c r="B20" s="2" t="s">
        <v>38</v>
      </c>
      <c r="C20" s="2" t="s">
        <v>118</v>
      </c>
      <c r="D20" s="2" t="s">
        <v>36</v>
      </c>
      <c r="E20" s="2" t="s">
        <v>59</v>
      </c>
      <c r="F20" s="10">
        <v>30436</v>
      </c>
      <c r="G20" s="1">
        <v>45197</v>
      </c>
      <c r="H20" s="12">
        <f t="shared" si="0"/>
        <v>0.05</v>
      </c>
      <c r="I20" s="12" t="str">
        <f t="shared" si="1"/>
        <v>Eligible</v>
      </c>
    </row>
    <row r="21" spans="1:9" ht="16.8" customHeight="1">
      <c r="A21" s="5">
        <v>2020</v>
      </c>
      <c r="B21" s="6" t="s">
        <v>35</v>
      </c>
      <c r="C21" s="6" t="s">
        <v>119</v>
      </c>
      <c r="D21" s="6" t="s">
        <v>36</v>
      </c>
      <c r="E21" s="6" t="s">
        <v>60</v>
      </c>
      <c r="F21" s="11">
        <v>33953</v>
      </c>
      <c r="G21" s="7">
        <v>45212</v>
      </c>
      <c r="H21" s="13">
        <f t="shared" si="0"/>
        <v>0.05</v>
      </c>
      <c r="I21" s="13" t="str">
        <f t="shared" si="1"/>
        <v>Eligible</v>
      </c>
    </row>
    <row r="22" spans="1:9" ht="15" thickBot="1"/>
    <row r="23" spans="1:9" ht="25.2" thickBot="1">
      <c r="C23" s="37" t="s">
        <v>96</v>
      </c>
      <c r="D23" s="40">
        <f>SUMIFS(F2:F21,B2:B21,"keyboard", D2:D21,"South")</f>
        <v>42233</v>
      </c>
      <c r="F23" s="39" t="s">
        <v>126</v>
      </c>
      <c r="G23" s="40" t="str">
        <f>_xlfn.XLOOKUP(46429,Table2[Amount],Table2[Salesperson],"Not found")</f>
        <v>Person 8</v>
      </c>
    </row>
    <row r="24" spans="1:9" ht="15" thickBot="1"/>
    <row r="25" spans="1:9" ht="33" customHeight="1" thickBot="1">
      <c r="C25" s="37" t="s">
        <v>120</v>
      </c>
      <c r="D25" s="40">
        <f>VLOOKUP("PC1010246",C2:I21,4,FALSE)</f>
        <v>15560</v>
      </c>
      <c r="F25" s="37" t="s">
        <v>121</v>
      </c>
      <c r="G25" s="40" cm="1">
        <f t="array" ref="G25">INDEX(F2:F21, MATCH(1, (E2:E21="Person 10") * (MONTH(G2:G21)=5), 0))</f>
        <v>35185</v>
      </c>
    </row>
    <row r="26" spans="1:9" ht="15" thickBot="1"/>
    <row r="27" spans="1:9" ht="25.2" thickBot="1">
      <c r="C27" s="37" t="s">
        <v>129</v>
      </c>
      <c r="D27" s="40">
        <f>_xlfn.XMATCH("Printer",Table2[Product],0)</f>
        <v>2</v>
      </c>
      <c r="F27" s="37" t="s">
        <v>131</v>
      </c>
      <c r="G27" s="40">
        <f ca="1">SUM(OFFSET(F2,1,0,3,1))</f>
        <v>46364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669F-0650-49FB-80F7-0BFB671E8595}">
  <dimension ref="A1:F28"/>
  <sheetViews>
    <sheetView workbookViewId="0">
      <selection activeCell="E1" sqref="E1"/>
    </sheetView>
  </sheetViews>
  <sheetFormatPr defaultRowHeight="14.4"/>
  <cols>
    <col min="1" max="1" width="13.44140625" customWidth="1"/>
    <col min="2" max="2" width="12" customWidth="1"/>
    <col min="3" max="3" width="13" customWidth="1"/>
    <col min="4" max="4" width="11.88671875" bestFit="1" customWidth="1"/>
    <col min="5" max="5" width="18.21875" customWidth="1"/>
    <col min="6" max="6" width="12.6640625" customWidth="1"/>
  </cols>
  <sheetData>
    <row r="1" spans="1:6" ht="15.6" customHeight="1" thickBot="1">
      <c r="A1" s="30" t="s">
        <v>61</v>
      </c>
      <c r="B1" s="31" t="s">
        <v>1</v>
      </c>
      <c r="C1" s="31" t="s">
        <v>62</v>
      </c>
      <c r="D1" s="31" t="s">
        <v>63</v>
      </c>
      <c r="E1" s="32" t="s">
        <v>64</v>
      </c>
      <c r="F1" s="33" t="s">
        <v>134</v>
      </c>
    </row>
    <row r="2" spans="1:6" ht="15.6" customHeight="1">
      <c r="A2" s="24">
        <v>3001</v>
      </c>
      <c r="B2" s="9" t="s">
        <v>65</v>
      </c>
      <c r="C2" s="9" t="s">
        <v>66</v>
      </c>
      <c r="D2" s="29">
        <v>86766</v>
      </c>
      <c r="E2" s="27">
        <v>42005</v>
      </c>
      <c r="F2" s="34">
        <f ca="1">DATEDIF(Table3[[#This Row],[Joining Date]],TODAY(),"d")</f>
        <v>4082</v>
      </c>
    </row>
    <row r="3" spans="1:6" ht="15.6" customHeight="1">
      <c r="A3" s="3">
        <v>3002</v>
      </c>
      <c r="B3" s="2" t="s">
        <v>67</v>
      </c>
      <c r="C3" s="2" t="s">
        <v>66</v>
      </c>
      <c r="D3" s="10">
        <v>31943</v>
      </c>
      <c r="E3" s="1">
        <v>42255</v>
      </c>
      <c r="F3" s="35">
        <f ca="1">DATEDIF(Table3[[#This Row],[Joining Date]],TODAY(),"d")</f>
        <v>3832</v>
      </c>
    </row>
    <row r="4" spans="1:6" ht="15.6" customHeight="1">
      <c r="A4" s="3">
        <v>3003</v>
      </c>
      <c r="B4" s="2" t="s">
        <v>68</v>
      </c>
      <c r="C4" s="2" t="s">
        <v>69</v>
      </c>
      <c r="D4" s="10">
        <v>63374</v>
      </c>
      <c r="E4" s="1">
        <v>42505</v>
      </c>
      <c r="F4" s="35">
        <f ca="1">DATEDIF(Table3[[#This Row],[Joining Date]],TODAY(),"d")</f>
        <v>3582</v>
      </c>
    </row>
    <row r="5" spans="1:6" ht="15.6" customHeight="1">
      <c r="A5" s="3">
        <v>3004</v>
      </c>
      <c r="B5" s="2" t="s">
        <v>70</v>
      </c>
      <c r="C5" s="2" t="s">
        <v>66</v>
      </c>
      <c r="D5" s="10">
        <v>109972</v>
      </c>
      <c r="E5" s="1">
        <v>42755</v>
      </c>
      <c r="F5" s="35">
        <f ca="1">DATEDIF(Table3[[#This Row],[Joining Date]],TODAY(),"d")</f>
        <v>3332</v>
      </c>
    </row>
    <row r="6" spans="1:6" ht="15.6" customHeight="1">
      <c r="A6" s="3">
        <v>3005</v>
      </c>
      <c r="B6" s="2" t="s">
        <v>71</v>
      </c>
      <c r="C6" s="2" t="s">
        <v>72</v>
      </c>
      <c r="D6" s="10">
        <v>54149</v>
      </c>
      <c r="E6" s="1">
        <v>43005</v>
      </c>
      <c r="F6" s="35">
        <f ca="1">DATEDIF(Table3[[#This Row],[Joining Date]],TODAY(),"d")</f>
        <v>3082</v>
      </c>
    </row>
    <row r="7" spans="1:6" ht="15.6" customHeight="1">
      <c r="A7" s="3">
        <v>3006</v>
      </c>
      <c r="B7" s="2" t="s">
        <v>73</v>
      </c>
      <c r="C7" s="2" t="s">
        <v>72</v>
      </c>
      <c r="D7" s="10">
        <v>78689</v>
      </c>
      <c r="E7" s="1">
        <v>43255</v>
      </c>
      <c r="F7" s="35">
        <f ca="1">DATEDIF(Table3[[#This Row],[Joining Date]],TODAY(),"d")</f>
        <v>2832</v>
      </c>
    </row>
    <row r="8" spans="1:6" ht="15.6" customHeight="1">
      <c r="A8" s="3">
        <v>3007</v>
      </c>
      <c r="B8" s="2" t="s">
        <v>74</v>
      </c>
      <c r="C8" s="2" t="s">
        <v>75</v>
      </c>
      <c r="D8" s="10">
        <v>35960</v>
      </c>
      <c r="E8" s="1">
        <v>43505</v>
      </c>
      <c r="F8" s="35">
        <f ca="1">DATEDIF(Table3[[#This Row],[Joining Date]],TODAY(),"d")</f>
        <v>2582</v>
      </c>
    </row>
    <row r="9" spans="1:6" ht="15.6" customHeight="1">
      <c r="A9" s="3">
        <v>3008</v>
      </c>
      <c r="B9" s="2" t="s">
        <v>76</v>
      </c>
      <c r="C9" s="2" t="s">
        <v>72</v>
      </c>
      <c r="D9" s="10">
        <v>91659</v>
      </c>
      <c r="E9" s="1">
        <v>43755</v>
      </c>
      <c r="F9" s="35">
        <f ca="1">DATEDIF(Table3[[#This Row],[Joining Date]],TODAY(),"d")</f>
        <v>2332</v>
      </c>
    </row>
    <row r="10" spans="1:6" ht="15.6" customHeight="1">
      <c r="A10" s="3">
        <v>3009</v>
      </c>
      <c r="B10" s="2" t="s">
        <v>77</v>
      </c>
      <c r="C10" s="2" t="s">
        <v>72</v>
      </c>
      <c r="D10" s="10">
        <v>90423</v>
      </c>
      <c r="E10" s="1">
        <v>44005</v>
      </c>
      <c r="F10" s="35">
        <f ca="1">DATEDIF(Table3[[#This Row],[Joining Date]],TODAY(),"d")</f>
        <v>2082</v>
      </c>
    </row>
    <row r="11" spans="1:6" ht="15.6" customHeight="1">
      <c r="A11" s="3">
        <v>3010</v>
      </c>
      <c r="B11" s="2" t="s">
        <v>78</v>
      </c>
      <c r="C11" s="2" t="s">
        <v>69</v>
      </c>
      <c r="D11" s="10">
        <v>107877</v>
      </c>
      <c r="E11" s="1">
        <v>44255</v>
      </c>
      <c r="F11" s="35">
        <f ca="1">DATEDIF(Table3[[#This Row],[Joining Date]],TODAY(),"d")</f>
        <v>1832</v>
      </c>
    </row>
    <row r="12" spans="1:6" ht="15.6" customHeight="1">
      <c r="A12" s="3">
        <v>3011</v>
      </c>
      <c r="B12" s="2" t="s">
        <v>79</v>
      </c>
      <c r="C12" s="2" t="s">
        <v>66</v>
      </c>
      <c r="D12" s="10">
        <v>107634</v>
      </c>
      <c r="E12" s="1">
        <v>44505</v>
      </c>
      <c r="F12" s="35">
        <f ca="1">DATEDIF(Table3[[#This Row],[Joining Date]],TODAY(),"d")</f>
        <v>1582</v>
      </c>
    </row>
    <row r="13" spans="1:6" ht="15.6" customHeight="1">
      <c r="A13" s="3">
        <v>3012</v>
      </c>
      <c r="B13" s="2" t="s">
        <v>80</v>
      </c>
      <c r="C13" s="2" t="s">
        <v>66</v>
      </c>
      <c r="D13" s="10">
        <v>35226</v>
      </c>
      <c r="E13" s="1">
        <v>44755</v>
      </c>
      <c r="F13" s="35">
        <f ca="1">DATEDIF(Table3[[#This Row],[Joining Date]],TODAY(),"d")</f>
        <v>1332</v>
      </c>
    </row>
    <row r="14" spans="1:6" ht="15.6" customHeight="1">
      <c r="A14" s="3">
        <v>3013</v>
      </c>
      <c r="B14" s="2" t="s">
        <v>81</v>
      </c>
      <c r="C14" s="2" t="s">
        <v>69</v>
      </c>
      <c r="D14" s="10">
        <v>40872</v>
      </c>
      <c r="E14" s="1">
        <v>45005</v>
      </c>
      <c r="F14" s="35">
        <f ca="1">DATEDIF(Table3[[#This Row],[Joining Date]],TODAY(),"d")</f>
        <v>1082</v>
      </c>
    </row>
    <row r="15" spans="1:6" ht="15.6" customHeight="1">
      <c r="A15" s="3">
        <v>3014</v>
      </c>
      <c r="B15" s="2" t="s">
        <v>82</v>
      </c>
      <c r="C15" s="2" t="s">
        <v>69</v>
      </c>
      <c r="D15" s="10">
        <v>55378</v>
      </c>
      <c r="E15" s="1">
        <v>45255</v>
      </c>
      <c r="F15" s="35">
        <f ca="1">DATEDIF(Table3[[#This Row],[Joining Date]],TODAY(),"d")</f>
        <v>832</v>
      </c>
    </row>
    <row r="16" spans="1:6" ht="15.6" customHeight="1">
      <c r="A16" s="3">
        <v>3015</v>
      </c>
      <c r="B16" s="2" t="s">
        <v>83</v>
      </c>
      <c r="C16" s="2" t="s">
        <v>69</v>
      </c>
      <c r="D16" s="10">
        <v>63297</v>
      </c>
      <c r="E16" s="1">
        <v>45505</v>
      </c>
      <c r="F16" s="35">
        <f ca="1">DATEDIF(Table3[[#This Row],[Joining Date]],TODAY(),"d")</f>
        <v>582</v>
      </c>
    </row>
    <row r="17" spans="1:6" ht="15.6" customHeight="1">
      <c r="A17" s="3">
        <v>3016</v>
      </c>
      <c r="B17" s="2" t="s">
        <v>84</v>
      </c>
      <c r="C17" s="2" t="s">
        <v>66</v>
      </c>
      <c r="D17" s="10">
        <v>114173</v>
      </c>
      <c r="E17" s="1">
        <v>45755</v>
      </c>
      <c r="F17" s="35">
        <f ca="1">DATEDIF(Table3[[#This Row],[Joining Date]],TODAY(),"d")</f>
        <v>332</v>
      </c>
    </row>
    <row r="18" spans="1:6" ht="15.6" customHeight="1">
      <c r="A18" s="3">
        <v>3017</v>
      </c>
      <c r="B18" s="2" t="s">
        <v>85</v>
      </c>
      <c r="C18" s="2" t="s">
        <v>69</v>
      </c>
      <c r="D18" s="10">
        <v>86915</v>
      </c>
      <c r="E18" s="1">
        <v>46005</v>
      </c>
      <c r="F18" s="35">
        <f ca="1">DATEDIF(Table3[[#This Row],[Joining Date]],TODAY(),"d")</f>
        <v>82</v>
      </c>
    </row>
    <row r="19" spans="1:6" ht="15.6" customHeight="1">
      <c r="A19" s="3">
        <v>3018</v>
      </c>
      <c r="B19" s="2" t="s">
        <v>86</v>
      </c>
      <c r="C19" s="2" t="s">
        <v>72</v>
      </c>
      <c r="D19" s="10">
        <v>116284</v>
      </c>
      <c r="E19" s="1">
        <v>45525</v>
      </c>
      <c r="F19" s="35">
        <f ca="1">DATEDIF(Table3[[#This Row],[Joining Date]],TODAY(),"d")</f>
        <v>562</v>
      </c>
    </row>
    <row r="20" spans="1:6" ht="15.6" customHeight="1">
      <c r="A20" s="3">
        <v>3019</v>
      </c>
      <c r="B20" s="2" t="s">
        <v>87</v>
      </c>
      <c r="C20" s="2" t="s">
        <v>75</v>
      </c>
      <c r="D20" s="10">
        <v>116283</v>
      </c>
      <c r="E20" s="1">
        <v>44314</v>
      </c>
      <c r="F20" s="35">
        <f ca="1">DATEDIF(Table3[[#This Row],[Joining Date]],TODAY(),"d")</f>
        <v>1773</v>
      </c>
    </row>
    <row r="21" spans="1:6" ht="15.6" customHeight="1">
      <c r="A21" s="5">
        <v>3020</v>
      </c>
      <c r="B21" s="6" t="s">
        <v>88</v>
      </c>
      <c r="C21" s="6" t="s">
        <v>75</v>
      </c>
      <c r="D21" s="11">
        <v>99924</v>
      </c>
      <c r="E21" s="7">
        <v>43833</v>
      </c>
      <c r="F21" s="36">
        <f ca="1">DATEDIF(Table3[[#This Row],[Joining Date]],TODAY(),"d")</f>
        <v>2254</v>
      </c>
    </row>
    <row r="23" spans="1:6" ht="15" thickBot="1"/>
    <row r="24" spans="1:6" ht="55.8" thickBot="1">
      <c r="A24" s="42" t="s">
        <v>128</v>
      </c>
      <c r="B24" s="40">
        <f>_xlfn.XLOOKUP("Employee 14",B2:B21,D2:D21,"Not found")</f>
        <v>55378</v>
      </c>
      <c r="D24" s="42" t="s">
        <v>127</v>
      </c>
      <c r="E24" s="40">
        <f>INDEX(A2:E21, MATCH("Employee 10", B2:B21, 0), MATCH("Salary", A1:E1, 0))</f>
        <v>107877</v>
      </c>
    </row>
    <row r="25" spans="1:6" ht="15" thickBot="1"/>
    <row r="26" spans="1:6" ht="42" thickBot="1">
      <c r="A26" s="43" t="s">
        <v>130</v>
      </c>
      <c r="B26" s="40">
        <f ca="1">SUM(INDIRECT("Salary"))</f>
        <v>1586798</v>
      </c>
      <c r="D26" s="42" t="s">
        <v>136</v>
      </c>
      <c r="E26" s="40">
        <f>CEILING(234.8745678,3)</f>
        <v>237</v>
      </c>
    </row>
    <row r="27" spans="1:6" ht="15" thickBot="1"/>
    <row r="28" spans="1:6" ht="42" thickBot="1">
      <c r="A28" s="42" t="s">
        <v>135</v>
      </c>
      <c r="B28" s="40">
        <f>ROUND(234.8745678,2)</f>
        <v>234.87</v>
      </c>
      <c r="D28" s="42" t="s">
        <v>137</v>
      </c>
      <c r="E28" s="40">
        <f>FLOOR(234.8745678,3)</f>
        <v>234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Student Grade</vt:lpstr>
      <vt:lpstr>Sales Data</vt:lpstr>
      <vt:lpstr>Employee Data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Devanshi Bacchhote</dc:creator>
  <cp:lastModifiedBy>Devanshi Bacchhote</cp:lastModifiedBy>
  <dcterms:created xsi:type="dcterms:W3CDTF">2026-03-05T03:37:07Z</dcterms:created>
  <dcterms:modified xsi:type="dcterms:W3CDTF">2026-03-06T06:50:10Z</dcterms:modified>
</cp:coreProperties>
</file>